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enu Item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1F2937"/>
      <sz val="14"/>
    </font>
    <font>
      <color rgb="006B7280"/>
      <sz val="10"/>
    </font>
    <font>
      <b val="1"/>
      <color rgb="00E11D48"/>
      <sz val="11"/>
    </font>
    <font>
      <sz val="10"/>
    </font>
    <font>
      <b val="1"/>
      <color rgb="001F2937"/>
      <sz val="10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4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164" fontId="0" fillId="2" borderId="1" pivotButton="0" quotePrefix="0" xfId="0"/>
    <xf numFmtId="3" fontId="0" fillId="2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0" fillId="4" borderId="1" applyAlignment="1" pivotButton="0" quotePrefix="0" xfId="0">
      <alignment horizontal="center"/>
    </xf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  <xf numFmtId="0" fontId="0" fillId="0" borderId="1" pivotButton="0" quotePrefix="0" xfId="0"/>
    <xf numFmtId="164" fontId="7" fillId="4" borderId="1" pivotButton="0" quotePrefix="0" xfId="0"/>
    <xf numFmtId="3" fontId="7" fillId="4" borderId="1" pivotButton="0" quotePrefix="0" xfId="0"/>
    <xf numFmtId="165" fontId="7" fillId="4" borderId="1" pivotButton="0" quotePrefix="0" xfId="0"/>
    <xf numFmtId="0" fontId="6" fillId="3" borderId="1" applyAlignment="1" pivotButton="0" quotePrefix="0" xfId="0">
      <alignment horizontal="center"/>
    </xf>
    <xf numFmtId="0" fontId="4" fillId="0" borderId="1" pivotButton="0" quotePrefix="0" xfId="0"/>
    <xf numFmtId="3" fontId="0" fillId="4" borderId="1" pivotButton="0" quotePrefix="0" xfId="0"/>
    <xf numFmtId="0" fontId="7" fillId="0" borderId="1" pivotButton="0" quotePrefix="0" xfId="0"/>
    <xf numFmtId="3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</cellXfs>
  <cellStyles count="1">
    <cellStyle name="Normal" xfId="0" builtinId="0" hidden="0"/>
  </cellStyles>
  <dxfs count="4">
    <dxf>
      <font>
        <b val="1"/>
        <color rgb="0015803D"/>
      </font>
    </dxf>
    <dxf>
      <font>
        <b val="1"/>
        <color rgb="00B45309"/>
      </font>
    </dxf>
    <dxf>
      <font>
        <b val="1"/>
        <color rgb="001D4ED8"/>
      </font>
    </dxf>
    <dxf>
      <font>
        <b val="1"/>
        <color rgb="00B91C1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0" customWidth="1" min="3" max="3"/>
  </cols>
  <sheetData>
    <row r="2">
      <c r="B2" s="1" t="inlineStr">
        <is>
          <t>Restaurant Menu Engineering Matrix</t>
        </is>
      </c>
    </row>
    <row r="3">
      <c r="B3" s="2" t="inlineStr">
        <is>
          <t>Classify every menu item as a Star, Plowhorse, Puzzle, or Dog and know exactly what to do with each.</t>
        </is>
      </c>
    </row>
    <row r="5">
      <c r="B5" s="3" t="inlineStr">
        <is>
          <t>How the method works</t>
        </is>
      </c>
    </row>
    <row r="6">
      <c r="B6" s="4" t="inlineStr">
        <is>
          <t>Menu engineering (the Kasavana-Smith method) scores every item on two axes: profitability and popularity.</t>
        </is>
      </c>
    </row>
    <row r="7">
      <c r="B7" s="4" t="inlineStr">
        <is>
          <t>1. PROFITABILITY: an item is HIGH margin if its contribution margin (menu price minus food cost) is at or</t>
        </is>
      </c>
    </row>
    <row r="8">
      <c r="B8" s="4" t="inlineStr">
        <is>
          <t xml:space="preserve">   above the menu average. The average here is weighted: total margin dollars divided by total units sold.</t>
        </is>
      </c>
    </row>
    <row r="9">
      <c r="B9" s="4" t="inlineStr">
        <is>
          <t>2. POPULARITY: with N items on the menu, the average share of sales is 1/N. The classic 70% rule says an item</t>
        </is>
      </c>
    </row>
    <row r="10">
      <c r="B10" s="4" t="inlineStr">
        <is>
          <t xml:space="preserve">   is HIGH popularity if its share of units sold is at least 70% of that average share (70% x 1/N).</t>
        </is>
      </c>
    </row>
    <row r="11">
      <c r="B11" s="4" t="inlineStr">
        <is>
          <t>Every item lands in one of four quadrants:</t>
        </is>
      </c>
    </row>
    <row r="13" ht="28" customHeight="1">
      <c r="B13" s="5" t="inlineStr">
        <is>
          <t>STARS</t>
        </is>
      </c>
      <c r="C13" s="6" t="inlineStr">
        <is>
          <t>High margin + high popularity. Protect them: keep quality and portioning consistent, feature them prominently, resist discounting.</t>
        </is>
      </c>
    </row>
    <row r="14" ht="28" customHeight="1">
      <c r="B14" s="5" t="inlineStr">
        <is>
          <t>PLOWHORSES</t>
        </is>
      </c>
      <c r="C14" s="6" t="inlineStr">
        <is>
          <t>Low margin + high popularity. They sell but earn too little: raise the price carefully, re-engineer the recipe, or cut portion cost.</t>
        </is>
      </c>
    </row>
    <row r="15" ht="28" customHeight="1">
      <c r="B15" s="5" t="inlineStr">
        <is>
          <t>PUZZLES</t>
        </is>
      </c>
      <c r="C15" s="6" t="inlineStr">
        <is>
          <t>High margin + low popularity. Worth saving: promote them, rename or reposition on the menu, train servers to suggest them.</t>
        </is>
      </c>
    </row>
    <row r="16" ht="28" customHeight="1">
      <c r="B16" s="5" t="inlineStr">
        <is>
          <t>DOGS</t>
        </is>
      </c>
      <c r="C16" s="6" t="inlineStr">
        <is>
          <t>Low margin + low popularity. Cut them, or replace with a stronger item. Keep only if they serve a strategic purpose.</t>
        </is>
      </c>
    </row>
    <row r="18">
      <c r="B18" s="3" t="inlineStr">
        <is>
          <t>How to fill it in</t>
        </is>
      </c>
    </row>
    <row r="19">
      <c r="B19" s="4" t="inlineStr">
        <is>
          <t>Only edit the YELLOW cells on the Menu Items sheet. Everything else computes automatically.</t>
        </is>
      </c>
    </row>
    <row r="20">
      <c r="B20" s="4" t="inlineStr">
        <is>
          <t>1. Item and Category: one row per menu item. Pick the category from the dropdown.</t>
        </is>
      </c>
    </row>
    <row r="21">
      <c r="B21" s="4" t="inlineStr">
        <is>
          <t>2. Menu Price: what the guest pays (before tax).</t>
        </is>
      </c>
    </row>
    <row r="22">
      <c r="B22" s="4" t="inlineStr">
        <is>
          <t>3. Food Cost: the plate cost of ingredients for one serving.</t>
        </is>
      </c>
    </row>
    <row r="23">
      <c r="B23" s="4" t="inlineStr">
        <is>
          <t>4. Units Sold: how many you sold in the analysis period. Use the same period (e.g. one month) for every item.</t>
        </is>
      </c>
    </row>
    <row r="24">
      <c r="B24" s="4" t="inlineStr">
        <is>
          <t>The sheet computes contribution margin, food cost %, revenue, total margin, popularity share, and the</t>
        </is>
      </c>
    </row>
    <row r="25">
      <c r="B25" s="4" t="inlineStr">
        <is>
          <t>classification for each item. The Summary sheet shows the benchmarks and totals per quadrant.</t>
        </is>
      </c>
    </row>
    <row r="27">
      <c r="B27" s="3" t="inlineStr">
        <is>
          <t>Worked example (prefilled sample data)</t>
        </is>
      </c>
    </row>
    <row r="28">
      <c r="B28" s="4" t="inlineStr">
        <is>
          <t>The template ships with 12 sample items. The Classic Cheeseburger earns a $10.15 margin (above the $8.82</t>
        </is>
      </c>
    </row>
    <row r="29">
      <c r="B29" s="4" t="inlineStr">
        <is>
          <t>weighted average) and sells 310 of 2,065 units, a 15.0% share (above the 5.8% benchmark), so it is a Star.</t>
        </is>
      </c>
    </row>
    <row r="30">
      <c r="B30" s="4" t="inlineStr">
        <is>
          <t>The Craft Lemonade sells heavily but earns only $4.10 per unit, so it is a Plowhorse. The Ribeye earns</t>
        </is>
      </c>
    </row>
    <row r="31">
      <c r="B31" s="4" t="inlineStr">
        <is>
          <t>$20.40 but sells only 95 units, so it is a Puzzle. Replace the sample rows with your own POS data.</t>
        </is>
      </c>
    </row>
    <row r="33">
      <c r="B33" s="4" t="inlineStr">
        <is>
          <t>Tip: rerun this monthly. Items drift between quadrants as costs and tastes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1" customWidth="1" min="4" max="4"/>
    <col width="11" customWidth="1" min="5" max="5"/>
    <col width="18" customWidth="1" min="6" max="6"/>
    <col width="12" customWidth="1" min="7" max="7"/>
    <col width="12" customWidth="1" min="8" max="8"/>
    <col width="13" customWidth="1" min="9" max="9"/>
    <col width="16" customWidth="1" min="10" max="10"/>
    <col width="15" customWidth="1" min="11" max="11"/>
  </cols>
  <sheetData>
    <row r="1">
      <c r="A1" s="1" t="inlineStr">
        <is>
          <t>Restaurant Menu Engineering Matrix</t>
        </is>
      </c>
    </row>
    <row r="2">
      <c r="A2" s="2" t="inlineStr">
        <is>
          <t>Fill the yellow cells only. One row per menu item, same sales period for all items.</t>
        </is>
      </c>
    </row>
    <row r="3" ht="26" customHeight="1">
      <c r="A3" s="7" t="inlineStr">
        <is>
          <t>Item</t>
        </is>
      </c>
      <c r="B3" s="7" t="inlineStr">
        <is>
          <t>Category</t>
        </is>
      </c>
      <c r="C3" s="7" t="inlineStr">
        <is>
          <t>Menu Price</t>
        </is>
      </c>
      <c r="D3" s="7" t="inlineStr">
        <is>
          <t>Food Cost</t>
        </is>
      </c>
      <c r="E3" s="7" t="inlineStr">
        <is>
          <t>Units Sold</t>
        </is>
      </c>
      <c r="F3" s="7" t="inlineStr">
        <is>
          <t>Contribution Margin</t>
        </is>
      </c>
      <c r="G3" s="7" t="inlineStr">
        <is>
          <t>Food Cost %</t>
        </is>
      </c>
      <c r="H3" s="7" t="inlineStr">
        <is>
          <t>Revenue</t>
        </is>
      </c>
      <c r="I3" s="7" t="inlineStr">
        <is>
          <t>Total Margin</t>
        </is>
      </c>
      <c r="J3" s="7" t="inlineStr">
        <is>
          <t>Popularity Share</t>
        </is>
      </c>
      <c r="K3" s="7" t="inlineStr">
        <is>
          <t>Classification</t>
        </is>
      </c>
    </row>
    <row r="4">
      <c r="A4" s="8" t="inlineStr">
        <is>
          <t>Classic Cheeseburger</t>
        </is>
      </c>
      <c r="B4" s="8" t="inlineStr">
        <is>
          <t>Main</t>
        </is>
      </c>
      <c r="C4" s="9" t="n">
        <v>14.5</v>
      </c>
      <c r="D4" s="9" t="n">
        <v>4.35</v>
      </c>
      <c r="E4" s="10" t="n">
        <v>310</v>
      </c>
      <c r="F4" s="11">
        <f>IF($A4="","",$C4-$D4)</f>
        <v/>
      </c>
      <c r="G4" s="12">
        <f>IF(OR($A4="",$C4=0),"",$D4/$C4)</f>
        <v/>
      </c>
      <c r="H4" s="11">
        <f>IF($A4="","",$C4*$E4)</f>
        <v/>
      </c>
      <c r="I4" s="11">
        <f>IF($A4="","",$F4*$E4)</f>
        <v/>
      </c>
      <c r="J4" s="12">
        <f>IF(OR($A4="",$E$16=0),"",$E4/$E$16)</f>
        <v/>
      </c>
      <c r="K4" s="13">
        <f>IF($A4="","",IF(AND($F4&gt;=Summary!$B$4,$J4&gt;=Summary!$B$7),"Star",IF($F4&gt;=Summary!$B$4,"Puzzle",IF($J4&gt;=Summary!$B$7,"Plowhorse","Dog"))))</f>
        <v/>
      </c>
    </row>
    <row r="5">
      <c r="A5" s="8" t="inlineStr">
        <is>
          <t>Margherita Pizza</t>
        </is>
      </c>
      <c r="B5" s="8" t="inlineStr">
        <is>
          <t>Main</t>
        </is>
      </c>
      <c r="C5" s="9" t="n">
        <v>15</v>
      </c>
      <c r="D5" s="9" t="n">
        <v>3.75</v>
      </c>
      <c r="E5" s="10" t="n">
        <v>280</v>
      </c>
      <c r="F5" s="11">
        <f>IF($A5="","",$C5-$D5)</f>
        <v/>
      </c>
      <c r="G5" s="12">
        <f>IF(OR($A5="",$C5=0),"",$D5/$C5)</f>
        <v/>
      </c>
      <c r="H5" s="11">
        <f>IF($A5="","",$C5*$E5)</f>
        <v/>
      </c>
      <c r="I5" s="11">
        <f>IF($A5="","",$F5*$E5)</f>
        <v/>
      </c>
      <c r="J5" s="12">
        <f>IF(OR($A5="",$E$16=0),"",$E5/$E$16)</f>
        <v/>
      </c>
      <c r="K5" s="13">
        <f>IF($A5="","",IF(AND($F5&gt;=Summary!$B$4,$J5&gt;=Summary!$B$7),"Star",IF($F5&gt;=Summary!$B$4,"Puzzle",IF($J5&gt;=Summary!$B$7,"Plowhorse","Dog"))))</f>
        <v/>
      </c>
    </row>
    <row r="6">
      <c r="A6" s="8" t="inlineStr">
        <is>
          <t>Grilled Ribeye Steak</t>
        </is>
      </c>
      <c r="B6" s="8" t="inlineStr">
        <is>
          <t>Main</t>
        </is>
      </c>
      <c r="C6" s="9" t="n">
        <v>34</v>
      </c>
      <c r="D6" s="9" t="n">
        <v>13.6</v>
      </c>
      <c r="E6" s="10" t="n">
        <v>95</v>
      </c>
      <c r="F6" s="11">
        <f>IF($A6="","",$C6-$D6)</f>
        <v/>
      </c>
      <c r="G6" s="12">
        <f>IF(OR($A6="",$C6=0),"",$D6/$C6)</f>
        <v/>
      </c>
      <c r="H6" s="11">
        <f>IF($A6="","",$C6*$E6)</f>
        <v/>
      </c>
      <c r="I6" s="11">
        <f>IF($A6="","",$F6*$E6)</f>
        <v/>
      </c>
      <c r="J6" s="12">
        <f>IF(OR($A6="",$E$16=0),"",$E6/$E$16)</f>
        <v/>
      </c>
      <c r="K6" s="13">
        <f>IF($A6="","",IF(AND($F6&gt;=Summary!$B$4,$J6&gt;=Summary!$B$7),"Star",IF($F6&gt;=Summary!$B$4,"Puzzle",IF($J6&gt;=Summary!$B$7,"Plowhorse","Dog"))))</f>
        <v/>
      </c>
    </row>
    <row r="7">
      <c r="A7" s="8" t="inlineStr">
        <is>
          <t>Chicken Caesar Salad</t>
        </is>
      </c>
      <c r="B7" s="8" t="inlineStr">
        <is>
          <t>Main</t>
        </is>
      </c>
      <c r="C7" s="9" t="n">
        <v>13.5</v>
      </c>
      <c r="D7" s="9" t="n">
        <v>4.05</v>
      </c>
      <c r="E7" s="10" t="n">
        <v>220</v>
      </c>
      <c r="F7" s="11">
        <f>IF($A7="","",$C7-$D7)</f>
        <v/>
      </c>
      <c r="G7" s="12">
        <f>IF(OR($A7="",$C7=0),"",$D7/$C7)</f>
        <v/>
      </c>
      <c r="H7" s="11">
        <f>IF($A7="","",$C7*$E7)</f>
        <v/>
      </c>
      <c r="I7" s="11">
        <f>IF($A7="","",$F7*$E7)</f>
        <v/>
      </c>
      <c r="J7" s="12">
        <f>IF(OR($A7="",$E$16=0),"",$E7/$E$16)</f>
        <v/>
      </c>
      <c r="K7" s="13">
        <f>IF($A7="","",IF(AND($F7&gt;=Summary!$B$4,$J7&gt;=Summary!$B$7),"Star",IF($F7&gt;=Summary!$B$4,"Puzzle",IF($J7&gt;=Summary!$B$7,"Plowhorse","Dog"))))</f>
        <v/>
      </c>
    </row>
    <row r="8">
      <c r="A8" s="8" t="inlineStr">
        <is>
          <t>Fish Tacos</t>
        </is>
      </c>
      <c r="B8" s="8" t="inlineStr">
        <is>
          <t>Main</t>
        </is>
      </c>
      <c r="C8" s="9" t="n">
        <v>15.5</v>
      </c>
      <c r="D8" s="9" t="n">
        <v>5.4</v>
      </c>
      <c r="E8" s="10" t="n">
        <v>140</v>
      </c>
      <c r="F8" s="11">
        <f>IF($A8="","",$C8-$D8)</f>
        <v/>
      </c>
      <c r="G8" s="12">
        <f>IF(OR($A8="",$C8=0),"",$D8/$C8)</f>
        <v/>
      </c>
      <c r="H8" s="11">
        <f>IF($A8="","",$C8*$E8)</f>
        <v/>
      </c>
      <c r="I8" s="11">
        <f>IF($A8="","",$F8*$E8)</f>
        <v/>
      </c>
      <c r="J8" s="12">
        <f>IF(OR($A8="",$E$16=0),"",$E8/$E$16)</f>
        <v/>
      </c>
      <c r="K8" s="13">
        <f>IF($A8="","",IF(AND($F8&gt;=Summary!$B$4,$J8&gt;=Summary!$B$7),"Star",IF($F8&gt;=Summary!$B$4,"Puzzle",IF($J8&gt;=Summary!$B$7,"Plowhorse","Dog"))))</f>
        <v/>
      </c>
    </row>
    <row r="9">
      <c r="A9" s="8" t="inlineStr">
        <is>
          <t>Truffle Mushroom Risotto</t>
        </is>
      </c>
      <c r="B9" s="8" t="inlineStr">
        <is>
          <t>Main</t>
        </is>
      </c>
      <c r="C9" s="9" t="n">
        <v>22</v>
      </c>
      <c r="D9" s="9" t="n">
        <v>6.6</v>
      </c>
      <c r="E9" s="10" t="n">
        <v>55</v>
      </c>
      <c r="F9" s="11">
        <f>IF($A9="","",$C9-$D9)</f>
        <v/>
      </c>
      <c r="G9" s="12">
        <f>IF(OR($A9="",$C9=0),"",$D9/$C9)</f>
        <v/>
      </c>
      <c r="H9" s="11">
        <f>IF($A9="","",$C9*$E9)</f>
        <v/>
      </c>
      <c r="I9" s="11">
        <f>IF($A9="","",$F9*$E9)</f>
        <v/>
      </c>
      <c r="J9" s="12">
        <f>IF(OR($A9="",$E$16=0),"",$E9/$E$16)</f>
        <v/>
      </c>
      <c r="K9" s="13">
        <f>IF($A9="","",IF(AND($F9&gt;=Summary!$B$4,$J9&gt;=Summary!$B$7),"Star",IF($F9&gt;=Summary!$B$4,"Puzzle",IF($J9&gt;=Summary!$B$7,"Plowhorse","Dog"))))</f>
        <v/>
      </c>
    </row>
    <row r="10">
      <c r="A10" s="8" t="inlineStr">
        <is>
          <t>Loaded Nachos</t>
        </is>
      </c>
      <c r="B10" s="8" t="inlineStr">
        <is>
          <t>Appetizer</t>
        </is>
      </c>
      <c r="C10" s="9" t="n">
        <v>11</v>
      </c>
      <c r="D10" s="9" t="n">
        <v>3.3</v>
      </c>
      <c r="E10" s="10" t="n">
        <v>240</v>
      </c>
      <c r="F10" s="11">
        <f>IF($A10="","",$C10-$D10)</f>
        <v/>
      </c>
      <c r="G10" s="12">
        <f>IF(OR($A10="",$C10=0),"",$D10/$C10)</f>
        <v/>
      </c>
      <c r="H10" s="11">
        <f>IF($A10="","",$C10*$E10)</f>
        <v/>
      </c>
      <c r="I10" s="11">
        <f>IF($A10="","",$F10*$E10)</f>
        <v/>
      </c>
      <c r="J10" s="12">
        <f>IF(OR($A10="",$E$16=0),"",$E10/$E$16)</f>
        <v/>
      </c>
      <c r="K10" s="13">
        <f>IF($A10="","",IF(AND($F10&gt;=Summary!$B$4,$J10&gt;=Summary!$B$7),"Star",IF($F10&gt;=Summary!$B$4,"Puzzle",IF($J10&gt;=Summary!$B$7,"Plowhorse","Dog"))))</f>
        <v/>
      </c>
    </row>
    <row r="11">
      <c r="A11" s="8" t="inlineStr">
        <is>
          <t>Crispy Calamari</t>
        </is>
      </c>
      <c r="B11" s="8" t="inlineStr">
        <is>
          <t>Appetizer</t>
        </is>
      </c>
      <c r="C11" s="9" t="n">
        <v>12.5</v>
      </c>
      <c r="D11" s="9" t="n">
        <v>5</v>
      </c>
      <c r="E11" s="10" t="n">
        <v>90</v>
      </c>
      <c r="F11" s="11">
        <f>IF($A11="","",$C11-$D11)</f>
        <v/>
      </c>
      <c r="G11" s="12">
        <f>IF(OR($A11="",$C11=0),"",$D11/$C11)</f>
        <v/>
      </c>
      <c r="H11" s="11">
        <f>IF($A11="","",$C11*$E11)</f>
        <v/>
      </c>
      <c r="I11" s="11">
        <f>IF($A11="","",$F11*$E11)</f>
        <v/>
      </c>
      <c r="J11" s="12">
        <f>IF(OR($A11="",$E$16=0),"",$E11/$E$16)</f>
        <v/>
      </c>
      <c r="K11" s="13">
        <f>IF($A11="","",IF(AND($F11&gt;=Summary!$B$4,$J11&gt;=Summary!$B$7),"Star",IF($F11&gt;=Summary!$B$4,"Puzzle",IF($J11&gt;=Summary!$B$7,"Plowhorse","Dog"))))</f>
        <v/>
      </c>
    </row>
    <row r="12">
      <c r="A12" s="8" t="inlineStr">
        <is>
          <t>Garden Side Salad</t>
        </is>
      </c>
      <c r="B12" s="8" t="inlineStr">
        <is>
          <t>Appetizer</t>
        </is>
      </c>
      <c r="C12" s="9" t="n">
        <v>6.5</v>
      </c>
      <c r="D12" s="9" t="n">
        <v>2.6</v>
      </c>
      <c r="E12" s="10" t="n">
        <v>75</v>
      </c>
      <c r="F12" s="11">
        <f>IF($A12="","",$C12-$D12)</f>
        <v/>
      </c>
      <c r="G12" s="12">
        <f>IF(OR($A12="",$C12=0),"",$D12/$C12)</f>
        <v/>
      </c>
      <c r="H12" s="11">
        <f>IF($A12="","",$C12*$E12)</f>
        <v/>
      </c>
      <c r="I12" s="11">
        <f>IF($A12="","",$F12*$E12)</f>
        <v/>
      </c>
      <c r="J12" s="12">
        <f>IF(OR($A12="",$E$16=0),"",$E12/$E$16)</f>
        <v/>
      </c>
      <c r="K12" s="13">
        <f>IF($A12="","",IF(AND($F12&gt;=Summary!$B$4,$J12&gt;=Summary!$B$7),"Star",IF($F12&gt;=Summary!$B$4,"Puzzle",IF($J12&gt;=Summary!$B$7,"Plowhorse","Dog"))))</f>
        <v/>
      </c>
    </row>
    <row r="13">
      <c r="A13" s="8" t="inlineStr">
        <is>
          <t>Chocolate Lava Cake</t>
        </is>
      </c>
      <c r="B13" s="8" t="inlineStr">
        <is>
          <t>Dessert</t>
        </is>
      </c>
      <c r="C13" s="9" t="n">
        <v>9</v>
      </c>
      <c r="D13" s="9" t="n">
        <v>2.25</v>
      </c>
      <c r="E13" s="10" t="n">
        <v>160</v>
      </c>
      <c r="F13" s="11">
        <f>IF($A13="","",$C13-$D13)</f>
        <v/>
      </c>
      <c r="G13" s="12">
        <f>IF(OR($A13="",$C13=0),"",$D13/$C13)</f>
        <v/>
      </c>
      <c r="H13" s="11">
        <f>IF($A13="","",$C13*$E13)</f>
        <v/>
      </c>
      <c r="I13" s="11">
        <f>IF($A13="","",$F13*$E13)</f>
        <v/>
      </c>
      <c r="J13" s="12">
        <f>IF(OR($A13="",$E$16=0),"",$E13/$E$16)</f>
        <v/>
      </c>
      <c r="K13" s="13">
        <f>IF($A13="","",IF(AND($F13&gt;=Summary!$B$4,$J13&gt;=Summary!$B$7),"Star",IF($F13&gt;=Summary!$B$4,"Puzzle",IF($J13&gt;=Summary!$B$7,"Plowhorse","Dog"))))</f>
        <v/>
      </c>
    </row>
    <row r="14">
      <c r="A14" s="8" t="inlineStr">
        <is>
          <t>New York Cheesecake</t>
        </is>
      </c>
      <c r="B14" s="8" t="inlineStr">
        <is>
          <t>Dessert</t>
        </is>
      </c>
      <c r="C14" s="9" t="n">
        <v>8.5</v>
      </c>
      <c r="D14" s="9" t="n">
        <v>2.98</v>
      </c>
      <c r="E14" s="10" t="n">
        <v>70</v>
      </c>
      <c r="F14" s="11">
        <f>IF($A14="","",$C14-$D14)</f>
        <v/>
      </c>
      <c r="G14" s="12">
        <f>IF(OR($A14="",$C14=0),"",$D14/$C14)</f>
        <v/>
      </c>
      <c r="H14" s="11">
        <f>IF($A14="","",$C14*$E14)</f>
        <v/>
      </c>
      <c r="I14" s="11">
        <f>IF($A14="","",$F14*$E14)</f>
        <v/>
      </c>
      <c r="J14" s="12">
        <f>IF(OR($A14="",$E$16=0),"",$E14/$E$16)</f>
        <v/>
      </c>
      <c r="K14" s="13">
        <f>IF($A14="","",IF(AND($F14&gt;=Summary!$B$4,$J14&gt;=Summary!$B$7),"Star",IF($F14&gt;=Summary!$B$4,"Puzzle",IF($J14&gt;=Summary!$B$7,"Plowhorse","Dog"))))</f>
        <v/>
      </c>
    </row>
    <row r="15">
      <c r="A15" s="8" t="inlineStr">
        <is>
          <t>Craft Lemonade</t>
        </is>
      </c>
      <c r="B15" s="8" t="inlineStr">
        <is>
          <t>Beverage</t>
        </is>
      </c>
      <c r="C15" s="9" t="n">
        <v>5</v>
      </c>
      <c r="D15" s="9" t="n">
        <v>0.9</v>
      </c>
      <c r="E15" s="10" t="n">
        <v>330</v>
      </c>
      <c r="F15" s="11">
        <f>IF($A15="","",$C15-$D15)</f>
        <v/>
      </c>
      <c r="G15" s="12">
        <f>IF(OR($A15="",$C15=0),"",$D15/$C15)</f>
        <v/>
      </c>
      <c r="H15" s="11">
        <f>IF($A15="","",$C15*$E15)</f>
        <v/>
      </c>
      <c r="I15" s="11">
        <f>IF($A15="","",$F15*$E15)</f>
        <v/>
      </c>
      <c r="J15" s="12">
        <f>IF(OR($A15="",$E$16=0),"",$E15/$E$16)</f>
        <v/>
      </c>
      <c r="K15" s="13">
        <f>IF($A15="","",IF(AND($F15&gt;=Summary!$B$4,$J15&gt;=Summary!$B$7),"Star",IF($F15&gt;=Summary!$B$4,"Puzzle",IF($J15&gt;=Summary!$B$7,"Plowhorse","Dog"))))</f>
        <v/>
      </c>
    </row>
    <row r="16">
      <c r="A16" s="14" t="inlineStr">
        <is>
          <t>TOTALS / AVERAGES</t>
        </is>
      </c>
      <c r="B16" s="14" t="n"/>
      <c r="C16" s="14" t="n"/>
      <c r="D16" s="14" t="n"/>
      <c r="E16" s="15">
        <f>SUM($E$4:$E$15)</f>
        <v/>
      </c>
      <c r="F16" s="16">
        <f>IF($E$16=0,0,$I$16/$E$16)</f>
        <v/>
      </c>
      <c r="G16" s="17">
        <f>IF($H$16=0,0,SUMPRODUCT($D$4:$D$15,$E$4:$E$15)/$H$16)</f>
        <v/>
      </c>
      <c r="H16" s="16">
        <f>SUM($H$4:$H$15)</f>
        <v/>
      </c>
      <c r="I16" s="16">
        <f>SUM($I$4:$I$15)</f>
        <v/>
      </c>
      <c r="J16" s="17">
        <f>IF($E$16=0,0,SUM($E$4:$E$15)/$E$16)</f>
        <v/>
      </c>
      <c r="K16" s="14" t="n"/>
    </row>
    <row r="18">
      <c r="A18" s="2" t="inlineStr">
        <is>
          <t>Contribution Margin in the totals row is the weighted menu average (total margin / total units).</t>
        </is>
      </c>
    </row>
  </sheetData>
  <conditionalFormatting sqref="K4:K35">
    <cfRule type="cellIs" priority="1" operator="equal" dxfId="0">
      <formula>"Star"</formula>
    </cfRule>
    <cfRule type="cellIs" priority="2" operator="equal" dxfId="1">
      <formula>"Plowhorse"</formula>
    </cfRule>
    <cfRule type="cellIs" priority="3" operator="equal" dxfId="2">
      <formula>"Puzzle"</formula>
    </cfRule>
    <cfRule type="cellIs" priority="4" operator="equal" dxfId="3">
      <formula>"Dog"</formula>
    </cfRule>
  </conditionalFormatting>
  <dataValidations count="1">
    <dataValidation sqref="B4:B35" showDropDown="0" showInputMessage="0" showErrorMessage="0" allowBlank="1" errorTitle="Invalid category" error="Pick a category from the list." type="list">
      <formula1>"Appetizer,Main,Dessert,Beverage"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Menu Engineering Summary</t>
        </is>
      </c>
    </row>
    <row r="3">
      <c r="A3" s="3" t="inlineStr">
        <is>
          <t>Benchmarks (referenced by the Classification formulas)</t>
        </is>
      </c>
    </row>
    <row r="4">
      <c r="A4" s="18" t="inlineStr">
        <is>
          <t>Menu average contribution margin (weighted)</t>
        </is>
      </c>
      <c r="B4" s="19">
        <f>IF('Menu Items'!$E$16=0,0,'Menu Items'!$I$16/'Menu Items'!$E$16)</f>
        <v/>
      </c>
    </row>
    <row r="5">
      <c r="A5" s="18" t="inlineStr">
        <is>
          <t>Number of menu items</t>
        </is>
      </c>
      <c r="B5" s="20">
        <f>COUNTA('Menu Items'!$A$4:$A$15)</f>
        <v/>
      </c>
    </row>
    <row r="6">
      <c r="A6" s="18" t="inlineStr">
        <is>
          <t>Average popularity share (1 / item count)</t>
        </is>
      </c>
      <c r="B6" s="21">
        <f>IF($B$5=0,0,1/$B$5)</f>
        <v/>
      </c>
    </row>
    <row r="7">
      <c r="A7" s="18" t="inlineStr">
        <is>
          <t>70% popularity benchmark (70% x average share)</t>
        </is>
      </c>
      <c r="B7" s="21">
        <f>0.7*$B$6</f>
        <v/>
      </c>
    </row>
    <row r="8">
      <c r="A8" s="18" t="inlineStr">
        <is>
          <t>Total units sold in period</t>
        </is>
      </c>
      <c r="B8" s="20">
        <f>'Menu Items'!$E$16</f>
        <v/>
      </c>
    </row>
    <row r="10">
      <c r="A10" s="3" t="inlineStr">
        <is>
          <t>Results by quadrant</t>
        </is>
      </c>
    </row>
    <row r="11">
      <c r="A11" s="22" t="inlineStr">
        <is>
          <t>Classification</t>
        </is>
      </c>
      <c r="B11" s="22" t="inlineStr">
        <is>
          <t>Item Count</t>
        </is>
      </c>
      <c r="C11" s="22" t="inlineStr">
        <is>
          <t>Total Margin</t>
        </is>
      </c>
      <c r="D11" s="22" t="inlineStr">
        <is>
          <t>% of Total Margin</t>
        </is>
      </c>
    </row>
    <row r="12">
      <c r="A12" s="23" t="inlineStr">
        <is>
          <t>Star  (Protect and feature)</t>
        </is>
      </c>
      <c r="B12" s="24">
        <f>COUNTIF('Menu Items'!$K$4:$K$15,"Star")</f>
        <v/>
      </c>
      <c r="C12" s="11">
        <f>SUMIF('Menu Items'!$K$4:$K$15,"Star",'Menu Items'!$I$4:$I$15)</f>
        <v/>
      </c>
      <c r="D12" s="12">
        <f>IF('Menu Items'!$I$16=0,0,$C12/'Menu Items'!$I$16)</f>
        <v/>
      </c>
    </row>
    <row r="13">
      <c r="A13" s="23" t="inlineStr">
        <is>
          <t>Plowhorse  (Raise price or cut plate cost)</t>
        </is>
      </c>
      <c r="B13" s="24">
        <f>COUNTIF('Menu Items'!$K$4:$K$15,"Plowhorse")</f>
        <v/>
      </c>
      <c r="C13" s="11">
        <f>SUMIF('Menu Items'!$K$4:$K$15,"Plowhorse",'Menu Items'!$I$4:$I$15)</f>
        <v/>
      </c>
      <c r="D13" s="12">
        <f>IF('Menu Items'!$I$16=0,0,$C13/'Menu Items'!$I$16)</f>
        <v/>
      </c>
    </row>
    <row r="14">
      <c r="A14" s="23" t="inlineStr">
        <is>
          <t>Puzzle  (Promote or reposition)</t>
        </is>
      </c>
      <c r="B14" s="24">
        <f>COUNTIF('Menu Items'!$K$4:$K$15,"Puzzle")</f>
        <v/>
      </c>
      <c r="C14" s="11">
        <f>SUMIF('Menu Items'!$K$4:$K$15,"Puzzle",'Menu Items'!$I$4:$I$15)</f>
        <v/>
      </c>
      <c r="D14" s="12">
        <f>IF('Menu Items'!$I$16=0,0,$C14/'Menu Items'!$I$16)</f>
        <v/>
      </c>
    </row>
    <row r="15">
      <c r="A15" s="23" t="inlineStr">
        <is>
          <t>Dog  (Cut or replace)</t>
        </is>
      </c>
      <c r="B15" s="24">
        <f>COUNTIF('Menu Items'!$K$4:$K$15,"Dog")</f>
        <v/>
      </c>
      <c r="C15" s="11">
        <f>SUMIF('Menu Items'!$K$4:$K$15,"Dog",'Menu Items'!$I$4:$I$15)</f>
        <v/>
      </c>
      <c r="D15" s="12">
        <f>IF('Menu Items'!$I$16=0,0,$C15/'Menu Items'!$I$16)</f>
        <v/>
      </c>
    </row>
    <row r="16">
      <c r="A16" s="25" t="inlineStr">
        <is>
          <t>TOTAL</t>
        </is>
      </c>
      <c r="B16" s="26">
        <f>SUM($B$12:$B$15)</f>
        <v/>
      </c>
      <c r="C16" s="27">
        <f>SUM($C$12:$C$15)</f>
        <v/>
      </c>
      <c r="D16" s="28">
        <f>IF('Menu Items'!$I$16=0,0,$C$16/'Menu Items'!$I$16)</f>
        <v/>
      </c>
    </row>
    <row r="18">
      <c r="A18" s="2" t="inlineStr">
        <is>
          <t>An item is HIGH margin if its contribution margin &gt;= B4, and HIGH popularity if its share &gt;= B7.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2026-07-19T11:02:18Z</dcterms:created>
  <dcterms:modified xsi:type="dcterms:W3CDTF">2026-07-19T11:02:18Z</dcterms:modified>
</cp:coreProperties>
</file>