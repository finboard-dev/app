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tart Here" state="visible" r:id="rId4"/>
    <sheet sheetId="2" name="Paste Import" state="visible" r:id="rId5"/>
    <sheet sheetId="3" name="Manual Input" state="visible" r:id="rId6"/>
    <sheet sheetId="4" name="Review" state="visible" r:id="rId7"/>
    <sheet sheetId="5" name="Summary" state="visible" r:id="rId8"/>
    <sheet sheetId="6" name="Lists" state="visible" r:id="rId9"/>
  </sheets>
  <definedNames>
    <definedName name="_xlnm.Print_Area" localSheetId="4">'Summary'!$A1:$H23</definedName>
  </definedNames>
  <calcPr calcId="171027" fullCalcOnLoad="1"/>
</workbook>
</file>

<file path=xl/sharedStrings.xml><?xml version="1.0" encoding="utf-8"?>
<sst xmlns="http://schemas.openxmlformats.org/spreadsheetml/2006/main" count="184" uniqueCount="88">
  <si>
    <t>Bank Reconciliation Workpaper</t>
  </si>
  <si>
    <t>Client Name</t>
  </si>
  <si>
    <t>Northstar Components LLC</t>
  </si>
  <si>
    <t>Bank Account</t>
  </si>
  <si>
    <t>Operating Account ••4821</t>
  </si>
  <si>
    <t>Statement Date</t>
  </si>
  <si>
    <t>Prepared By</t>
  </si>
  <si>
    <t>Taylor Morgan</t>
  </si>
  <si>
    <t>Review Date</t>
  </si>
  <si>
    <t>Input Mode</t>
  </si>
  <si>
    <t>Paste Import</t>
  </si>
  <si>
    <t>Currency</t>
  </si>
  <si>
    <t>USD</t>
  </si>
  <si>
    <t>Reconciliation Tolerance</t>
  </si>
  <si>
    <t>Workflow</t>
  </si>
  <si>
    <t>1. Confirm the client, bank account, dates, selected input mode, and tolerance.</t>
  </si>
  <si>
    <t>2. Paste bank reconciliation detail or enter reconciling items manually in blue cells.</t>
  </si>
  <si>
    <t>3. Classify each item and resolve duplicate, incomplete, and unresolved review flags.</t>
  </si>
  <si>
    <t>4. Print or export the Summary only after the difference is within tolerance and unresolved items are cleared.</t>
  </si>
  <si>
    <t>Color</t>
  </si>
  <si>
    <t>Meaning</t>
  </si>
  <si>
    <t>Blue text</t>
  </si>
  <si>
    <t>Editable input</t>
  </si>
  <si>
    <t>Black text</t>
  </si>
  <si>
    <t>Formula or calculated result</t>
  </si>
  <si>
    <t>Amber or red</t>
  </si>
  <si>
    <t>Review item or failed control</t>
  </si>
  <si>
    <t>Paste Import — Bank Reconciliation</t>
  </si>
  <si>
    <t>Statement Balance</t>
  </si>
  <si>
    <t>Sign convention: checks and deposits = positive; bank and book adjustments = signed.</t>
  </si>
  <si>
    <t>Book Balance</t>
  </si>
  <si>
    <t>Date</t>
  </si>
  <si>
    <t>Reference</t>
  </si>
  <si>
    <t>Description</t>
  </si>
  <si>
    <t>Amount</t>
  </si>
  <si>
    <t>Source</t>
  </si>
  <si>
    <t>Reconciliation Type</t>
  </si>
  <si>
    <t>Cleared Status</t>
  </si>
  <si>
    <t>Notes</t>
  </si>
  <si>
    <t>CHK-1042</t>
  </si>
  <si>
    <t>Vendor payment</t>
  </si>
  <si>
    <t>Books</t>
  </si>
  <si>
    <t>Outstanding Check</t>
  </si>
  <si>
    <t>Open</t>
  </si>
  <si>
    <t>Clears next period</t>
  </si>
  <si>
    <t>DEP-0630</t>
  </si>
  <si>
    <t>Month-end customer deposit</t>
  </si>
  <si>
    <t>Deposit in Transit</t>
  </si>
  <si>
    <t>Deposited at month-end</t>
  </si>
  <si>
    <t>FEE-0630</t>
  </si>
  <si>
    <t>Bank service fee</t>
  </si>
  <si>
    <t>Bank</t>
  </si>
  <si>
    <t>Bank Adjustment</t>
  </si>
  <si>
    <t>Cleared</t>
  </si>
  <si>
    <t>Post fee to the ledger</t>
  </si>
  <si>
    <t>JE-0630</t>
  </si>
  <si>
    <t>Book-side correction</t>
  </si>
  <si>
    <t>Book Adjustment</t>
  </si>
  <si>
    <t>Approved adjustment</t>
  </si>
  <si>
    <t>UNR-0630</t>
  </si>
  <si>
    <t>Unidentified bank debit</t>
  </si>
  <si>
    <t>Unresolved</t>
  </si>
  <si>
    <t>Research in progress</t>
  </si>
  <si>
    <t>CLR-0021</t>
  </si>
  <si>
    <t>Cleared transfer — bank</t>
  </si>
  <si>
    <t>Matched item</t>
  </si>
  <si>
    <t>Cleared transfer — books</t>
  </si>
  <si>
    <t>Manual Input — Bank Reconciliation</t>
  </si>
  <si>
    <t>Bank Reconciliation Review</t>
  </si>
  <si>
    <t>Formula-driven review of the selected input mode. Resolve duplicate, incomplete, and unresolved items before sign-off.</t>
  </si>
  <si>
    <t>Duplicate</t>
  </si>
  <si>
    <t>Input Check</t>
  </si>
  <si>
    <t>Bank Reconciliation — Summary</t>
  </si>
  <si>
    <t>Printable reconciliation control and sign-off workpaper</t>
  </si>
  <si>
    <t>Client</t>
  </si>
  <si>
    <t>Status</t>
  </si>
  <si>
    <t>Outstanding Checks</t>
  </si>
  <si>
    <t>Deposits in Transit</t>
  </si>
  <si>
    <t>Bank Adjustments</t>
  </si>
  <si>
    <t>Book Adjustments</t>
  </si>
  <si>
    <t>Adjusted Bank</t>
  </si>
  <si>
    <t>Adjusted Books</t>
  </si>
  <si>
    <t>Difference</t>
  </si>
  <si>
    <t>Unresolved Count</t>
  </si>
  <si>
    <t>Unresolved Amount</t>
  </si>
  <si>
    <t>Reviewer Notes</t>
  </si>
  <si>
    <t>Resolve the unidentified bank debit before the reconciliation can be marked Complete.</t>
  </si>
  <si>
    <t>Manual Input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</si>
</sst>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mmm d, yyyy"/>
    <numFmt numFmtId="165" formatCode="$#,##0;[Red]($#,##0);-"/>
  </numFmts>
  <fonts count="13" x14ac:knownFonts="1">
    <font>
      <color theme="1"/>
      <family val="2"/>
      <scheme val="minor"/>
      <sz val="11"/>
      <name val="Calibri"/>
    </font>
    <font>
      <b/>
      <color rgb="FFFFFFFF"/>
      <sz val="20"/>
      <name val="Aptos Display"/>
    </font>
    <font>
      <color rgb="FF0000FF"/>
      <sz val="10"/>
      <name val="Aptos"/>
    </font>
    <font>
      <b/>
      <color rgb="FFFFFFFF"/>
    </font>
    <font>
      <color rgb="FF0000FF"/>
    </font>
    <font>
      <i/>
      <color rgb="FF6B7280"/>
    </font>
    <font>
      <b/>
      <color rgb="FFFFFFFF"/>
      <sz val="10"/>
      <name val="Aptos"/>
    </font>
    <font>
      <color rgb="FF111827"/>
      <sz val="10"/>
      <name val="Aptos"/>
    </font>
    <font>
      <color rgb="FF047857"/>
    </font>
    <font>
      <b/>
      <color rgb="FFD97706"/>
    </font>
    <font>
      <b/>
      <color rgb="FFDC2626"/>
    </font>
    <font>
      <b/>
      <color rgb="FF6B7280"/>
    </font>
    <font>
      <b/>
      <color rgb="FF111827"/>
      <sz val="18"/>
    </font>
  </fonts>
  <fills count="8">
    <fill>
      <patternFill patternType="none"/>
    </fill>
    <fill>
      <patternFill patternType="gray125"/>
    </fill>
    <fill>
      <patternFill patternType="solid">
        <fgColor rgb="FF111827"/>
      </patternFill>
    </fill>
    <fill>
      <patternFill patternType="solid">
        <fgColor rgb="FFEFF6FF"/>
      </patternFill>
    </fill>
    <fill>
      <patternFill patternType="solid">
        <fgColor rgb="FF2563EB"/>
      </patternFill>
    </fill>
    <fill>
      <patternFill patternType="solid">
        <fgColor rgb="FFD1FAE5"/>
      </patternFill>
    </fill>
    <fill>
      <patternFill patternType="solid">
        <fgColor rgb="FFFEF3C7"/>
      </patternFill>
    </fill>
    <fill>
      <patternFill patternType="solid">
        <fgColor rgb="FFFEE2E2"/>
      </patternFill>
    </fill>
  </fills>
  <borders count="3">
    <border>
      <left/>
      <right/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/>
      <bottom style="thin">
        <color rgb="FFD1D5DB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2" borderId="0" xfId="0" applyFont="1" applyFill="1" applyAlignment="1">
      <alignment vertical="center"/>
    </xf>
    <xf numFmtId="0" fontId="2" fillId="3" borderId="1" xfId="0" applyFont="1" applyFill="1" applyBorder="1"/>
    <xf numFmtId="164" fontId="2" fillId="3" borderId="1" xfId="0" applyNumberFormat="1" applyFont="1" applyFill="1" applyBorder="1"/>
    <xf numFmtId="14" fontId="2" fillId="3" borderId="1" xfId="0" applyNumberFormat="1" applyFont="1" applyFill="1" applyBorder="1"/>
    <xf numFmtId="2" fontId="2" fillId="3" borderId="1" xfId="0" applyNumberFormat="1" applyFont="1" applyFill="1" applyBorder="1"/>
    <xf numFmtId="0" fontId="3" fillId="4" borderId="0" xfId="0" applyFont="1" applyFill="1"/>
    <xf numFmtId="0" fontId="0" fillId="0" borderId="0" xfId="0" applyAlignment="1">
      <alignment vertical="center" wrapText="1"/>
    </xf>
    <xf numFmtId="0" fontId="3" fillId="2" borderId="0" xfId="0" applyFont="1" applyFill="1"/>
    <xf numFmtId="165" fontId="4" fillId="3" borderId="1" xfId="0" applyNumberFormat="1" applyFont="1" applyFill="1" applyBorder="1"/>
    <xf numFmtId="0" fontId="5" fillId="0" borderId="0" xfId="0" applyFont="1" applyAlignment="1">
      <alignment vertical="center" wrapText="1"/>
    </xf>
    <xf numFmtId="164" fontId="4" fillId="3" borderId="1" xfId="0" applyNumberFormat="1" applyFont="1" applyFill="1" applyBorder="1"/>
    <xf numFmtId="0" fontId="6" fillId="2" borderId="2" xfId="0" applyFont="1" applyFill="1" applyBorder="1" applyAlignment="1">
      <alignment vertical="center" wrapText="1"/>
    </xf>
    <xf numFmtId="165" fontId="6" fillId="2" borderId="2" xfId="0" applyNumberFormat="1" applyFont="1" applyFill="1" applyBorder="1" applyAlignment="1">
      <alignment vertical="center" wrapText="1"/>
    </xf>
    <xf numFmtId="164" fontId="2" fillId="3" borderId="2" xfId="0" applyNumberFormat="1" applyFont="1" applyFill="1" applyBorder="1"/>
    <xf numFmtId="0" fontId="2" fillId="3" borderId="2" xfId="0" applyFont="1" applyFill="1" applyBorder="1"/>
    <xf numFmtId="165" fontId="2" fillId="3" borderId="2" xfId="0" applyNumberFormat="1" applyFont="1" applyFill="1" applyBorder="1"/>
    <xf numFmtId="0" fontId="5" fillId="0" borderId="0" xfId="0" applyFont="1"/>
    <xf numFmtId="164" fontId="7" fillId="0" borderId="0" xfId="0" applyNumberFormat="1" applyFont="1"/>
    <xf numFmtId="0" fontId="7" fillId="0" borderId="0" xfId="0" applyFont="1"/>
    <xf numFmtId="165" fontId="7" fillId="0" borderId="0" xfId="0" applyNumberFormat="1" applyFont="1"/>
    <xf numFmtId="0" fontId="8" fillId="5" borderId="0" xfId="0" applyFont="1" applyFill="1"/>
    <xf numFmtId="0" fontId="9" fillId="6" borderId="0" xfId="0" applyFont="1" applyFill="1"/>
    <xf numFmtId="0" fontId="10" fillId="7" borderId="0" xfId="0" applyFont="1" applyFill="1"/>
    <xf numFmtId="0" fontId="0" fillId="0" borderId="2" xfId="0" applyBorder="1"/>
    <xf numFmtId="164" fontId="0" fillId="0" borderId="2" xfId="0" applyNumberFormat="1" applyBorder="1"/>
    <xf numFmtId="0" fontId="9" fillId="6" borderId="2" xfId="0" applyFont="1" applyFill="1" applyBorder="1"/>
    <xf numFmtId="0" fontId="11" fillId="3" borderId="2" xfId="0" applyFont="1" applyFill="1" applyBorder="1"/>
    <xf numFmtId="165" fontId="12" fillId="0" borderId="2" xfId="0" applyNumberFormat="1" applyFont="1" applyBorder="1"/>
    <xf numFmtId="1" fontId="12" fillId="0" borderId="2" xfId="0" applyNumberFormat="1" applyFont="1" applyBorder="1"/>
    <xf numFmtId="0" fontId="3" fillId="2" borderId="2" xfId="0" applyFont="1" applyFill="1" applyBorder="1"/>
    <xf numFmtId="0" fontId="4" fillId="3" borderId="2" xfId="0" applyFont="1" applyFill="1" applyBorder="1" applyAlignment="1">
      <alignment vertical="top" wrapText="1"/>
    </xf>
  </cellXfs>
  <cellStyles count="1">
    <cellStyle name="Normal" xfId="0" builtinId="0"/>
  </cellStyles>
  <dxfs count="4">
    <dxf>
      <font>
        <color rgb="FFDC2626"/>
      </font>
      <fill>
        <patternFill patternType="solid">
          <fgColor rgb="FFFEE2E2"/>
        </patternFill>
      </fill>
    </dxf>
    <dxf>
      <font>
        <color rgb="FFD97706"/>
      </font>
      <fill>
        <patternFill patternType="solid">
          <fgColor rgb="FFFEF3C7"/>
        </patternFill>
      </fill>
    </dxf>
    <dxf>
      <font>
        <color rgb="FFDC2626"/>
      </font>
      <fill>
        <patternFill patternType="solid">
          <fgColor rgb="FFFEE2E2"/>
        </patternFill>
      </fill>
    </dxf>
    <dxf>
      <font>
        <color rgb="FF047857"/>
      </font>
      <fill>
        <patternFill patternType="solid">
          <fgColor rgb="FFD1FAE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Relationship Id="rId9" Type="http://schemas.openxmlformats.org/officeDocument/2006/relationships/worksheet" Target="worksheets/sheet6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5"/>
  <sheetViews>
    <sheetView workbookViewId="0" showGridLines="0"/>
  </sheetViews>
  <sheetFormatPr defaultRowHeight="15" outlineLevelRow="0" outlineLevelCol="0" x14ac:dyDescent="55"/>
  <cols>
    <col min="1" max="1" width="25" customWidth="1"/>
    <col min="2" max="2" width="22" customWidth="1"/>
    <col min="3" max="8" width="14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/>
    <row r="4" spans="1:8" x14ac:dyDescent="0.25">
      <c r="A4" t="s">
        <v>1</v>
      </c>
      <c r="B4" s="2" t="s">
        <v>2</v>
      </c>
    </row>
    <row r="5" spans="1:8" x14ac:dyDescent="0.25">
      <c r="A5" t="s">
        <v>3</v>
      </c>
      <c r="B5" s="3" t="s">
        <v>4</v>
      </c>
    </row>
    <row r="6" spans="1:8" x14ac:dyDescent="0.25">
      <c r="A6" t="s">
        <v>5</v>
      </c>
      <c r="B6" s="4">
        <v>46203</v>
      </c>
    </row>
    <row r="7" spans="1:8" x14ac:dyDescent="0.25">
      <c r="A7" t="s">
        <v>6</v>
      </c>
      <c r="B7" s="3" t="s">
        <v>7</v>
      </c>
    </row>
    <row r="8" spans="1:8" x14ac:dyDescent="0.25">
      <c r="A8" t="s">
        <v>8</v>
      </c>
      <c r="B8" s="4">
        <v>46213</v>
      </c>
    </row>
    <row r="9" spans="1:8" x14ac:dyDescent="0.25">
      <c r="A9" t="s">
        <v>9</v>
      </c>
      <c r="B9" s="2" t="s">
        <v>10</v>
      </c>
    </row>
    <row r="10" spans="1:8" x14ac:dyDescent="0.25">
      <c r="A10" t="s">
        <v>11</v>
      </c>
      <c r="B10" s="2" t="s">
        <v>12</v>
      </c>
    </row>
    <row r="11" spans="1:8" x14ac:dyDescent="0.25">
      <c r="A11" t="s">
        <v>13</v>
      </c>
      <c r="B11" s="5">
        <v>0.01</v>
      </c>
    </row>
    <row r="12" spans="1:8" x14ac:dyDescent="0.25"/>
    <row r="13" spans="1:8" x14ac:dyDescent="0.25"/>
    <row r="14" spans="1:8" x14ac:dyDescent="0.25">
      <c r="A14" s="6" t="s">
        <v>14</v>
      </c>
      <c r="B14" s="6"/>
      <c r="C14" s="6"/>
      <c r="D14" s="6"/>
      <c r="E14" s="6"/>
      <c r="F14" s="6"/>
      <c r="G14" s="6"/>
      <c r="H14" s="6"/>
    </row>
    <row r="15" ht="28" customHeight="1" spans="1:8" x14ac:dyDescent="0.25">
      <c r="A15" s="7" t="s">
        <v>15</v>
      </c>
      <c r="B15" s="7"/>
      <c r="C15" s="7"/>
      <c r="D15" s="7"/>
      <c r="E15" s="7"/>
      <c r="F15" s="7"/>
      <c r="G15" s="7"/>
      <c r="H15" s="7"/>
    </row>
    <row r="16" ht="28" customHeight="1" spans="1:8" x14ac:dyDescent="0.25">
      <c r="A16" s="7" t="s">
        <v>16</v>
      </c>
      <c r="B16" s="7"/>
      <c r="C16" s="7"/>
      <c r="D16" s="7"/>
      <c r="E16" s="7"/>
      <c r="F16" s="7"/>
      <c r="G16" s="7"/>
      <c r="H16" s="7"/>
    </row>
    <row r="17" ht="28" customHeight="1" spans="1:8" x14ac:dyDescent="0.25">
      <c r="A17" s="7" t="s">
        <v>17</v>
      </c>
      <c r="B17" s="7"/>
      <c r="C17" s="7"/>
      <c r="D17" s="7"/>
      <c r="E17" s="7"/>
      <c r="F17" s="7"/>
      <c r="G17" s="7"/>
      <c r="H17" s="7"/>
    </row>
    <row r="18" ht="28" customHeight="1" spans="1:8" x14ac:dyDescent="0.25">
      <c r="A18" s="7" t="s">
        <v>18</v>
      </c>
      <c r="B18" s="7"/>
      <c r="C18" s="7"/>
      <c r="D18" s="7"/>
      <c r="E18" s="7"/>
      <c r="F18" s="7"/>
      <c r="G18" s="7"/>
      <c r="H18" s="7"/>
    </row>
    <row r="19" spans="1:8" x14ac:dyDescent="0.25"/>
    <row r="20" spans="1:8" x14ac:dyDescent="0.25"/>
    <row r="21" spans="1:8" x14ac:dyDescent="0.25"/>
    <row r="22" spans="1:8" s="8" customFormat="1" x14ac:dyDescent="0.25">
      <c r="A22" s="8" t="s">
        <v>19</v>
      </c>
      <c r="B22" s="8" t="s">
        <v>20</v>
      </c>
      <c r="C22" s="8"/>
      <c r="D22" s="8"/>
      <c r="E22" s="8"/>
      <c r="F22" s="8"/>
      <c r="G22" s="8"/>
      <c r="H22" s="8"/>
    </row>
    <row r="23" spans="1:8" x14ac:dyDescent="0.25">
      <c r="A23" t="s">
        <v>21</v>
      </c>
      <c r="B23" t="s">
        <v>22</v>
      </c>
    </row>
    <row r="24" spans="1:8" x14ac:dyDescent="0.25">
      <c r="A24" t="s">
        <v>23</v>
      </c>
      <c r="B24" t="s">
        <v>24</v>
      </c>
    </row>
    <row r="25" spans="1:8" x14ac:dyDescent="0.25">
      <c r="A25" t="s">
        <v>25</v>
      </c>
      <c r="B25" t="s">
        <v>26</v>
      </c>
    </row>
  </sheetData>
  <mergeCells count="6">
    <mergeCell ref="A1:H2"/>
    <mergeCell ref="A14:H14"/>
    <mergeCell ref="A15:H15"/>
    <mergeCell ref="A16:H16"/>
    <mergeCell ref="A17:H17"/>
    <mergeCell ref="A18:H18"/>
  </mergeCells>
  <dataValidations count="1">
    <dataValidation type="list" sqref="B8">
      <formula1>'Lists'!$D$2:$D$3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3" width="29" customWidth="1"/>
    <col min="4" max="4" width="16" customWidth="1"/>
    <col min="5" max="5" width="14" customWidth="1"/>
    <col min="6" max="6" width="23" customWidth="1"/>
    <col min="7" max="7" width="17" customWidth="1"/>
    <col min="8" max="8" width="28" customWidth="1"/>
  </cols>
  <sheetData>
    <row r="1" ht="30" customHeight="1" spans="1:8" x14ac:dyDescent="0.25">
      <c r="A1" s="1" t="s">
        <v>27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28</v>
      </c>
      <c r="B2" s="9">
        <v>51200</v>
      </c>
      <c r="C2" s="10" t="s">
        <v>29</v>
      </c>
      <c r="D2" s="10"/>
      <c r="E2" s="10"/>
      <c r="F2" s="10"/>
      <c r="G2" s="10"/>
      <c r="H2" s="10"/>
    </row>
    <row r="3" spans="1:8" x14ac:dyDescent="0.25">
      <c r="A3" t="s">
        <v>30</v>
      </c>
      <c r="B3" s="9">
        <v>50000</v>
      </c>
      <c r="C3" s="10"/>
      <c r="D3" s="10"/>
      <c r="E3" s="10"/>
      <c r="F3" s="10"/>
      <c r="G3" s="10"/>
      <c r="H3" s="10"/>
    </row>
    <row r="4" spans="1:8" x14ac:dyDescent="0.25">
      <c r="A4" t="s">
        <v>5</v>
      </c>
      <c r="B4" s="11">
        <v>46203</v>
      </c>
      <c r="C4" s="10"/>
      <c r="D4" s="10"/>
      <c r="E4" s="10"/>
      <c r="F4" s="10"/>
      <c r="G4" s="10"/>
      <c r="H4" s="10"/>
    </row>
    <row r="5" ht="38" customHeight="1" spans="1:8" x14ac:dyDescent="0.25">
      <c r="A5" s="12" t="s">
        <v>31</v>
      </c>
      <c r="B5" s="12" t="s">
        <v>32</v>
      </c>
      <c r="C5" s="12" t="s">
        <v>33</v>
      </c>
      <c r="D5" s="13" t="s">
        <v>34</v>
      </c>
      <c r="E5" s="12" t="s">
        <v>35</v>
      </c>
      <c r="F5" s="12" t="s">
        <v>36</v>
      </c>
      <c r="G5" s="12" t="s">
        <v>37</v>
      </c>
      <c r="H5" s="12" t="s">
        <v>38</v>
      </c>
    </row>
    <row r="6" spans="1:8" x14ac:dyDescent="0.25">
      <c r="A6" s="14">
        <v>46203</v>
      </c>
      <c r="B6" s="15" t="s">
        <v>39</v>
      </c>
      <c r="C6" s="15" t="s">
        <v>40</v>
      </c>
      <c r="D6" s="16">
        <v>2500</v>
      </c>
      <c r="E6" s="15" t="s">
        <v>41</v>
      </c>
      <c r="F6" s="15" t="s">
        <v>42</v>
      </c>
      <c r="G6" s="15" t="s">
        <v>43</v>
      </c>
      <c r="H6" s="15" t="s">
        <v>44</v>
      </c>
    </row>
    <row r="7" spans="1:8" x14ac:dyDescent="0.25">
      <c r="A7" s="14">
        <v>46203</v>
      </c>
      <c r="B7" s="15" t="s">
        <v>45</v>
      </c>
      <c r="C7" s="15" t="s">
        <v>46</v>
      </c>
      <c r="D7" s="16">
        <v>3000</v>
      </c>
      <c r="E7" s="15" t="s">
        <v>41</v>
      </c>
      <c r="F7" s="15" t="s">
        <v>47</v>
      </c>
      <c r="G7" s="15" t="s">
        <v>43</v>
      </c>
      <c r="H7" s="15" t="s">
        <v>48</v>
      </c>
    </row>
    <row r="8" spans="1:8" x14ac:dyDescent="0.25">
      <c r="A8" s="14">
        <v>46203</v>
      </c>
      <c r="B8" s="15" t="s">
        <v>49</v>
      </c>
      <c r="C8" s="15" t="s">
        <v>50</v>
      </c>
      <c r="D8" s="16">
        <v>-50</v>
      </c>
      <c r="E8" s="15" t="s">
        <v>51</v>
      </c>
      <c r="F8" s="15" t="s">
        <v>52</v>
      </c>
      <c r="G8" s="15" t="s">
        <v>53</v>
      </c>
      <c r="H8" s="15" t="s">
        <v>54</v>
      </c>
    </row>
    <row r="9" spans="1:8" x14ac:dyDescent="0.25">
      <c r="A9" s="14">
        <v>46203</v>
      </c>
      <c r="B9" s="15" t="s">
        <v>55</v>
      </c>
      <c r="C9" s="15" t="s">
        <v>56</v>
      </c>
      <c r="D9" s="16">
        <v>1650</v>
      </c>
      <c r="E9" s="15" t="s">
        <v>41</v>
      </c>
      <c r="F9" s="15" t="s">
        <v>57</v>
      </c>
      <c r="G9" s="15" t="s">
        <v>53</v>
      </c>
      <c r="H9" s="15" t="s">
        <v>58</v>
      </c>
    </row>
    <row r="10" spans="1:8" x14ac:dyDescent="0.25">
      <c r="A10" s="14">
        <v>46203</v>
      </c>
      <c r="B10" s="15" t="s">
        <v>59</v>
      </c>
      <c r="C10" s="15" t="s">
        <v>60</v>
      </c>
      <c r="D10" s="16">
        <v>75</v>
      </c>
      <c r="E10" s="15" t="s">
        <v>51</v>
      </c>
      <c r="F10" s="15" t="s">
        <v>61</v>
      </c>
      <c r="G10" s="15" t="s">
        <v>43</v>
      </c>
      <c r="H10" s="15" t="s">
        <v>62</v>
      </c>
    </row>
    <row r="11" spans="1:8" x14ac:dyDescent="0.25">
      <c r="A11" s="14">
        <v>46203</v>
      </c>
      <c r="B11" s="15" t="s">
        <v>63</v>
      </c>
      <c r="C11" s="15" t="s">
        <v>64</v>
      </c>
      <c r="D11" s="16">
        <v>100</v>
      </c>
      <c r="E11" s="15" t="s">
        <v>51</v>
      </c>
      <c r="F11" s="15" t="s">
        <v>53</v>
      </c>
      <c r="G11" s="15" t="s">
        <v>53</v>
      </c>
      <c r="H11" s="15" t="s">
        <v>65</v>
      </c>
    </row>
    <row r="12" spans="1:8" x14ac:dyDescent="0.25">
      <c r="A12" s="14">
        <v>46203</v>
      </c>
      <c r="B12" s="15" t="s">
        <v>63</v>
      </c>
      <c r="C12" s="15" t="s">
        <v>66</v>
      </c>
      <c r="D12" s="16">
        <v>-100</v>
      </c>
      <c r="E12" s="15" t="s">
        <v>41</v>
      </c>
      <c r="F12" s="15" t="s">
        <v>53</v>
      </c>
      <c r="G12" s="15" t="s">
        <v>53</v>
      </c>
      <c r="H12" s="15" t="s">
        <v>65</v>
      </c>
    </row>
    <row r="13" spans="1:8" x14ac:dyDescent="0.25">
      <c r="A13" s="14"/>
      <c r="B13" s="15"/>
      <c r="C13" s="15"/>
      <c r="D13" s="16"/>
      <c r="E13" s="15"/>
      <c r="F13" s="15"/>
      <c r="G13" s="15"/>
      <c r="H13" s="15"/>
    </row>
    <row r="14" spans="1:8" x14ac:dyDescent="0.25">
      <c r="A14" s="14"/>
      <c r="B14" s="15"/>
      <c r="C14" s="15"/>
      <c r="D14" s="16"/>
      <c r="E14" s="15"/>
      <c r="F14" s="15"/>
      <c r="G14" s="15"/>
      <c r="H14" s="15"/>
    </row>
    <row r="15" spans="1:8" x14ac:dyDescent="0.25">
      <c r="A15" s="14"/>
      <c r="B15" s="15"/>
      <c r="C15" s="15"/>
      <c r="D15" s="16"/>
      <c r="E15" s="15"/>
      <c r="F15" s="15"/>
      <c r="G15" s="15"/>
      <c r="H15" s="15"/>
    </row>
    <row r="16" spans="1:8" x14ac:dyDescent="0.25">
      <c r="A16" s="14"/>
      <c r="B16" s="15"/>
      <c r="C16" s="15"/>
      <c r="D16" s="16"/>
      <c r="E16" s="15"/>
      <c r="F16" s="15"/>
      <c r="G16" s="15"/>
      <c r="H16" s="15"/>
    </row>
    <row r="17" spans="1:8" x14ac:dyDescent="0.25">
      <c r="A17" s="14"/>
      <c r="B17" s="15"/>
      <c r="C17" s="15"/>
      <c r="D17" s="16"/>
      <c r="E17" s="15"/>
      <c r="F17" s="15"/>
      <c r="G17" s="15"/>
      <c r="H17" s="15"/>
    </row>
    <row r="18" spans="1:8" x14ac:dyDescent="0.25">
      <c r="A18" s="14"/>
      <c r="B18" s="15"/>
      <c r="C18" s="15"/>
      <c r="D18" s="16"/>
      <c r="E18" s="15"/>
      <c r="F18" s="15"/>
      <c r="G18" s="15"/>
      <c r="H18" s="15"/>
    </row>
    <row r="19" spans="1:8" x14ac:dyDescent="0.25">
      <c r="A19" s="14"/>
      <c r="B19" s="15"/>
      <c r="C19" s="15"/>
      <c r="D19" s="16"/>
      <c r="E19" s="15"/>
      <c r="F19" s="15"/>
      <c r="G19" s="15"/>
      <c r="H19" s="15"/>
    </row>
    <row r="20" spans="1:8" x14ac:dyDescent="0.25">
      <c r="A20" s="14"/>
      <c r="B20" s="15"/>
      <c r="C20" s="15"/>
      <c r="D20" s="16"/>
      <c r="E20" s="15"/>
      <c r="F20" s="15"/>
      <c r="G20" s="15"/>
      <c r="H20" s="15"/>
    </row>
    <row r="21" spans="1:8" x14ac:dyDescent="0.25">
      <c r="A21" s="14"/>
      <c r="B21" s="15"/>
      <c r="C21" s="15"/>
      <c r="D21" s="16"/>
      <c r="E21" s="15"/>
      <c r="F21" s="15"/>
      <c r="G21" s="15"/>
      <c r="H21" s="15"/>
    </row>
    <row r="22" spans="1:8" x14ac:dyDescent="0.25">
      <c r="A22" s="14"/>
      <c r="B22" s="15"/>
      <c r="C22" s="15"/>
      <c r="D22" s="16"/>
      <c r="E22" s="15"/>
      <c r="F22" s="15"/>
      <c r="G22" s="15"/>
      <c r="H22" s="15"/>
    </row>
    <row r="23" spans="1:8" x14ac:dyDescent="0.25">
      <c r="A23" s="14"/>
      <c r="B23" s="15"/>
      <c r="C23" s="15"/>
      <c r="D23" s="16"/>
      <c r="E23" s="15"/>
      <c r="F23" s="15"/>
      <c r="G23" s="15"/>
      <c r="H23" s="15"/>
    </row>
    <row r="24" spans="1:8" x14ac:dyDescent="0.25">
      <c r="A24" s="14"/>
      <c r="B24" s="15"/>
      <c r="C24" s="15"/>
      <c r="D24" s="16"/>
      <c r="E24" s="15"/>
      <c r="F24" s="15"/>
      <c r="G24" s="15"/>
      <c r="H24" s="15"/>
    </row>
    <row r="25" spans="1:8" x14ac:dyDescent="0.25">
      <c r="A25" s="14"/>
      <c r="B25" s="15"/>
      <c r="C25" s="15"/>
      <c r="D25" s="16"/>
      <c r="E25" s="15"/>
      <c r="F25" s="15"/>
      <c r="G25" s="15"/>
      <c r="H25" s="15"/>
    </row>
    <row r="26" spans="1:8" x14ac:dyDescent="0.25">
      <c r="A26" s="14"/>
      <c r="B26" s="15"/>
      <c r="C26" s="15"/>
      <c r="D26" s="16"/>
      <c r="E26" s="15"/>
      <c r="F26" s="15"/>
      <c r="G26" s="15"/>
      <c r="H26" s="15"/>
    </row>
    <row r="27" spans="1:8" x14ac:dyDescent="0.25">
      <c r="A27" s="14"/>
      <c r="B27" s="15"/>
      <c r="C27" s="15"/>
      <c r="D27" s="16"/>
      <c r="E27" s="15"/>
      <c r="F27" s="15"/>
      <c r="G27" s="15"/>
      <c r="H27" s="15"/>
    </row>
    <row r="28" spans="1:8" x14ac:dyDescent="0.25">
      <c r="A28" s="14"/>
      <c r="B28" s="15"/>
      <c r="C28" s="15"/>
      <c r="D28" s="16"/>
      <c r="E28" s="15"/>
      <c r="F28" s="15"/>
      <c r="G28" s="15"/>
      <c r="H28" s="15"/>
    </row>
    <row r="29" spans="1:8" x14ac:dyDescent="0.25">
      <c r="A29" s="14"/>
      <c r="B29" s="15"/>
      <c r="C29" s="15"/>
      <c r="D29" s="16"/>
      <c r="E29" s="15"/>
      <c r="F29" s="15"/>
      <c r="G29" s="15"/>
      <c r="H29" s="15"/>
    </row>
    <row r="30" spans="1:8" x14ac:dyDescent="0.25">
      <c r="A30" s="14"/>
      <c r="B30" s="15"/>
      <c r="C30" s="15"/>
      <c r="D30" s="16"/>
      <c r="E30" s="15"/>
      <c r="F30" s="15"/>
      <c r="G30" s="15"/>
      <c r="H30" s="15"/>
    </row>
    <row r="31" spans="1:8" x14ac:dyDescent="0.25">
      <c r="A31" s="14"/>
      <c r="B31" s="15"/>
      <c r="C31" s="15"/>
      <c r="D31" s="16"/>
      <c r="E31" s="15"/>
      <c r="F31" s="15"/>
      <c r="G31" s="15"/>
      <c r="H31" s="15"/>
    </row>
    <row r="32" spans="1:8" x14ac:dyDescent="0.25">
      <c r="A32" s="14"/>
      <c r="B32" s="15"/>
      <c r="C32" s="15"/>
      <c r="D32" s="16"/>
      <c r="E32" s="15"/>
      <c r="F32" s="15"/>
      <c r="G32" s="15"/>
      <c r="H32" s="15"/>
    </row>
    <row r="33" spans="1:8" x14ac:dyDescent="0.25">
      <c r="A33" s="14"/>
      <c r="B33" s="15"/>
      <c r="C33" s="15"/>
      <c r="D33" s="16"/>
      <c r="E33" s="15"/>
      <c r="F33" s="15"/>
      <c r="G33" s="15"/>
      <c r="H33" s="15"/>
    </row>
    <row r="34" spans="1:8" x14ac:dyDescent="0.25">
      <c r="A34" s="14"/>
      <c r="B34" s="15"/>
      <c r="C34" s="15"/>
      <c r="D34" s="16"/>
      <c r="E34" s="15"/>
      <c r="F34" s="15"/>
      <c r="G34" s="15"/>
      <c r="H34" s="15"/>
    </row>
    <row r="35" spans="1:8" x14ac:dyDescent="0.25">
      <c r="A35" s="14"/>
      <c r="B35" s="15"/>
      <c r="C35" s="15"/>
      <c r="D35" s="16"/>
      <c r="E35" s="15"/>
      <c r="F35" s="15"/>
      <c r="G35" s="15"/>
      <c r="H35" s="15"/>
    </row>
    <row r="36" spans="1:8" x14ac:dyDescent="0.25">
      <c r="A36" s="14"/>
      <c r="B36" s="15"/>
      <c r="C36" s="15"/>
      <c r="D36" s="16"/>
      <c r="E36" s="15"/>
      <c r="F36" s="15"/>
      <c r="G36" s="15"/>
      <c r="H36" s="15"/>
    </row>
    <row r="37" spans="1:8" x14ac:dyDescent="0.25">
      <c r="A37" s="14"/>
      <c r="B37" s="15"/>
      <c r="C37" s="15"/>
      <c r="D37" s="16"/>
      <c r="E37" s="15"/>
      <c r="F37" s="15"/>
      <c r="G37" s="15"/>
      <c r="H37" s="15"/>
    </row>
    <row r="38" spans="1:8" x14ac:dyDescent="0.25">
      <c r="A38" s="14"/>
      <c r="B38" s="15"/>
      <c r="C38" s="15"/>
      <c r="D38" s="16"/>
      <c r="E38" s="15"/>
      <c r="F38" s="15"/>
      <c r="G38" s="15"/>
      <c r="H38" s="15"/>
    </row>
    <row r="39" spans="1:8" x14ac:dyDescent="0.25">
      <c r="A39" s="14"/>
      <c r="B39" s="15"/>
      <c r="C39" s="15"/>
      <c r="D39" s="16"/>
      <c r="E39" s="15"/>
      <c r="F39" s="15"/>
      <c r="G39" s="15"/>
      <c r="H39" s="15"/>
    </row>
    <row r="40" spans="1:8" x14ac:dyDescent="0.25">
      <c r="A40" s="14"/>
      <c r="B40" s="15"/>
      <c r="C40" s="15"/>
      <c r="D40" s="16"/>
      <c r="E40" s="15"/>
      <c r="F40" s="15"/>
      <c r="G40" s="15"/>
      <c r="H40" s="15"/>
    </row>
    <row r="41" spans="1:8" x14ac:dyDescent="0.25">
      <c r="A41" s="14"/>
      <c r="B41" s="15"/>
      <c r="C41" s="15"/>
      <c r="D41" s="16"/>
      <c r="E41" s="15"/>
      <c r="F41" s="15"/>
      <c r="G41" s="15"/>
      <c r="H41" s="15"/>
    </row>
    <row r="42" spans="1:8" x14ac:dyDescent="0.25">
      <c r="A42" s="14"/>
      <c r="B42" s="15"/>
      <c r="C42" s="15"/>
      <c r="D42" s="16"/>
      <c r="E42" s="15"/>
      <c r="F42" s="15"/>
      <c r="G42" s="15"/>
      <c r="H42" s="15"/>
    </row>
    <row r="43" spans="1:8" x14ac:dyDescent="0.25">
      <c r="A43" s="14"/>
      <c r="B43" s="15"/>
      <c r="C43" s="15"/>
      <c r="D43" s="16"/>
      <c r="E43" s="15"/>
      <c r="F43" s="15"/>
      <c r="G43" s="15"/>
      <c r="H43" s="15"/>
    </row>
    <row r="44" spans="1:8" x14ac:dyDescent="0.25">
      <c r="A44" s="14"/>
      <c r="B44" s="15"/>
      <c r="C44" s="15"/>
      <c r="D44" s="16"/>
      <c r="E44" s="15"/>
      <c r="F44" s="15"/>
      <c r="G44" s="15"/>
      <c r="H44" s="15"/>
    </row>
    <row r="45" spans="1:8" x14ac:dyDescent="0.25">
      <c r="A45" s="14"/>
      <c r="B45" s="15"/>
      <c r="C45" s="15"/>
      <c r="D45" s="16"/>
      <c r="E45" s="15"/>
      <c r="F45" s="15"/>
      <c r="G45" s="15"/>
      <c r="H45" s="15"/>
    </row>
    <row r="46" spans="1:8" x14ac:dyDescent="0.25">
      <c r="A46" s="14"/>
      <c r="B46" s="15"/>
      <c r="C46" s="15"/>
      <c r="D46" s="16"/>
      <c r="E46" s="15"/>
      <c r="F46" s="15"/>
      <c r="G46" s="15"/>
      <c r="H46" s="15"/>
    </row>
    <row r="47" spans="1:8" x14ac:dyDescent="0.25">
      <c r="A47" s="14"/>
      <c r="B47" s="15"/>
      <c r="C47" s="15"/>
      <c r="D47" s="16"/>
      <c r="E47" s="15"/>
      <c r="F47" s="15"/>
      <c r="G47" s="15"/>
      <c r="H47" s="15"/>
    </row>
    <row r="48" spans="1:8" x14ac:dyDescent="0.25">
      <c r="A48" s="14"/>
      <c r="B48" s="15"/>
      <c r="C48" s="15"/>
      <c r="D48" s="16"/>
      <c r="E48" s="15"/>
      <c r="F48" s="15"/>
      <c r="G48" s="15"/>
      <c r="H48" s="15"/>
    </row>
    <row r="49" spans="1:8" x14ac:dyDescent="0.25">
      <c r="A49" s="14"/>
      <c r="B49" s="15"/>
      <c r="C49" s="15"/>
      <c r="D49" s="16"/>
      <c r="E49" s="15"/>
      <c r="F49" s="15"/>
      <c r="G49" s="15"/>
      <c r="H49" s="15"/>
    </row>
    <row r="50" spans="1:8" x14ac:dyDescent="0.25">
      <c r="A50" s="14"/>
      <c r="B50" s="15"/>
      <c r="C50" s="15"/>
      <c r="D50" s="16"/>
      <c r="E50" s="15"/>
      <c r="F50" s="15"/>
      <c r="G50" s="15"/>
      <c r="H50" s="15"/>
    </row>
    <row r="51" spans="1:8" x14ac:dyDescent="0.25">
      <c r="A51" s="14"/>
      <c r="B51" s="15"/>
      <c r="C51" s="15"/>
      <c r="D51" s="16"/>
      <c r="E51" s="15"/>
      <c r="F51" s="15"/>
      <c r="G51" s="15"/>
      <c r="H51" s="15"/>
    </row>
    <row r="52" spans="1:8" x14ac:dyDescent="0.25">
      <c r="A52" s="14"/>
      <c r="B52" s="15"/>
      <c r="C52" s="15"/>
      <c r="D52" s="16"/>
      <c r="E52" s="15"/>
      <c r="F52" s="15"/>
      <c r="G52" s="15"/>
      <c r="H52" s="15"/>
    </row>
    <row r="53" spans="1:8" x14ac:dyDescent="0.25">
      <c r="A53" s="14"/>
      <c r="B53" s="15"/>
      <c r="C53" s="15"/>
      <c r="D53" s="16"/>
      <c r="E53" s="15"/>
      <c r="F53" s="15"/>
      <c r="G53" s="15"/>
      <c r="H53" s="15"/>
    </row>
    <row r="54" spans="1:8" x14ac:dyDescent="0.25">
      <c r="A54" s="14"/>
      <c r="B54" s="15"/>
      <c r="C54" s="15"/>
      <c r="D54" s="16"/>
      <c r="E54" s="15"/>
      <c r="F54" s="15"/>
      <c r="G54" s="15"/>
      <c r="H54" s="15"/>
    </row>
    <row r="55" spans="1:8" x14ac:dyDescent="0.25">
      <c r="A55" s="14"/>
      <c r="B55" s="15"/>
      <c r="C55" s="15"/>
      <c r="D55" s="16"/>
      <c r="E55" s="15"/>
      <c r="F55" s="15"/>
      <c r="G55" s="15"/>
      <c r="H55" s="15"/>
    </row>
    <row r="56" spans="1:8" x14ac:dyDescent="0.25">
      <c r="A56" s="14"/>
      <c r="B56" s="15"/>
      <c r="C56" s="15"/>
      <c r="D56" s="16"/>
      <c r="E56" s="15"/>
      <c r="F56" s="15"/>
      <c r="G56" s="15"/>
      <c r="H56" s="15"/>
    </row>
    <row r="57" spans="1:8" x14ac:dyDescent="0.25">
      <c r="A57" s="14"/>
      <c r="B57" s="15"/>
      <c r="C57" s="15"/>
      <c r="D57" s="16"/>
      <c r="E57" s="15"/>
      <c r="F57" s="15"/>
      <c r="G57" s="15"/>
      <c r="H57" s="15"/>
    </row>
    <row r="58" spans="1:8" x14ac:dyDescent="0.25">
      <c r="A58" s="14"/>
      <c r="B58" s="15"/>
      <c r="C58" s="15"/>
      <c r="D58" s="16"/>
      <c r="E58" s="15"/>
      <c r="F58" s="15"/>
      <c r="G58" s="15"/>
      <c r="H58" s="15"/>
    </row>
    <row r="59" spans="1:8" x14ac:dyDescent="0.25">
      <c r="A59" s="14"/>
      <c r="B59" s="15"/>
      <c r="C59" s="15"/>
      <c r="D59" s="16"/>
      <c r="E59" s="15"/>
      <c r="F59" s="15"/>
      <c r="G59" s="15"/>
      <c r="H59" s="15"/>
    </row>
    <row r="60" spans="1:8" x14ac:dyDescent="0.25">
      <c r="A60" s="14"/>
      <c r="B60" s="15"/>
      <c r="C60" s="15"/>
      <c r="D60" s="16"/>
      <c r="E60" s="15"/>
      <c r="F60" s="15"/>
      <c r="G60" s="15"/>
      <c r="H60" s="15"/>
    </row>
    <row r="61" spans="1:8" x14ac:dyDescent="0.25">
      <c r="A61" s="14"/>
      <c r="B61" s="15"/>
      <c r="C61" s="15"/>
      <c r="D61" s="16"/>
      <c r="E61" s="15"/>
      <c r="F61" s="15"/>
      <c r="G61" s="15"/>
      <c r="H61" s="15"/>
    </row>
    <row r="62" spans="1:8" x14ac:dyDescent="0.25">
      <c r="A62" s="14"/>
      <c r="B62" s="15"/>
      <c r="C62" s="15"/>
      <c r="D62" s="16"/>
      <c r="E62" s="15"/>
      <c r="F62" s="15"/>
      <c r="G62" s="15"/>
      <c r="H62" s="15"/>
    </row>
    <row r="63" spans="1:8" x14ac:dyDescent="0.25">
      <c r="A63" s="14"/>
      <c r="B63" s="15"/>
      <c r="C63" s="15"/>
      <c r="D63" s="16"/>
      <c r="E63" s="15"/>
      <c r="F63" s="15"/>
      <c r="G63" s="15"/>
      <c r="H63" s="15"/>
    </row>
    <row r="64" spans="1:8" x14ac:dyDescent="0.25">
      <c r="A64" s="14"/>
      <c r="B64" s="15"/>
      <c r="C64" s="15"/>
      <c r="D64" s="16"/>
      <c r="E64" s="15"/>
      <c r="F64" s="15"/>
      <c r="G64" s="15"/>
      <c r="H64" s="15"/>
    </row>
    <row r="65" spans="1:8" x14ac:dyDescent="0.25">
      <c r="A65" s="14"/>
      <c r="B65" s="15"/>
      <c r="C65" s="15"/>
      <c r="D65" s="16"/>
      <c r="E65" s="15"/>
      <c r="F65" s="15"/>
      <c r="G65" s="15"/>
      <c r="H65" s="15"/>
    </row>
    <row r="66" spans="1:8" x14ac:dyDescent="0.25">
      <c r="A66" s="14"/>
      <c r="B66" s="15"/>
      <c r="C66" s="15"/>
      <c r="D66" s="16"/>
      <c r="E66" s="15"/>
      <c r="F66" s="15"/>
      <c r="G66" s="15"/>
      <c r="H66" s="15"/>
    </row>
    <row r="67" spans="1:8" x14ac:dyDescent="0.25">
      <c r="A67" s="14"/>
      <c r="B67" s="15"/>
      <c r="C67" s="15"/>
      <c r="D67" s="16"/>
      <c r="E67" s="15"/>
      <c r="F67" s="15"/>
      <c r="G67" s="15"/>
      <c r="H67" s="15"/>
    </row>
    <row r="68" spans="1:8" x14ac:dyDescent="0.25">
      <c r="A68" s="14"/>
      <c r="B68" s="15"/>
      <c r="C68" s="15"/>
      <c r="D68" s="16"/>
      <c r="E68" s="15"/>
      <c r="F68" s="15"/>
      <c r="G68" s="15"/>
      <c r="H68" s="15"/>
    </row>
    <row r="69" spans="1:8" x14ac:dyDescent="0.25">
      <c r="A69" s="14"/>
      <c r="B69" s="15"/>
      <c r="C69" s="15"/>
      <c r="D69" s="16"/>
      <c r="E69" s="15"/>
      <c r="F69" s="15"/>
      <c r="G69" s="15"/>
      <c r="H69" s="15"/>
    </row>
    <row r="70" spans="1:8" x14ac:dyDescent="0.25">
      <c r="A70" s="14"/>
      <c r="B70" s="15"/>
      <c r="C70" s="15"/>
      <c r="D70" s="16"/>
      <c r="E70" s="15"/>
      <c r="F70" s="15"/>
      <c r="G70" s="15"/>
      <c r="H70" s="15"/>
    </row>
    <row r="71" spans="1:8" x14ac:dyDescent="0.25">
      <c r="A71" s="14"/>
      <c r="B71" s="15"/>
      <c r="C71" s="15"/>
      <c r="D71" s="16"/>
      <c r="E71" s="15"/>
      <c r="F71" s="15"/>
      <c r="G71" s="15"/>
      <c r="H71" s="15"/>
    </row>
    <row r="72" spans="1:8" x14ac:dyDescent="0.25">
      <c r="A72" s="14"/>
      <c r="B72" s="15"/>
      <c r="C72" s="15"/>
      <c r="D72" s="16"/>
      <c r="E72" s="15"/>
      <c r="F72" s="15"/>
      <c r="G72" s="15"/>
      <c r="H72" s="15"/>
    </row>
    <row r="73" spans="1:8" x14ac:dyDescent="0.25">
      <c r="A73" s="14"/>
      <c r="B73" s="15"/>
      <c r="C73" s="15"/>
      <c r="D73" s="16"/>
      <c r="E73" s="15"/>
      <c r="F73" s="15"/>
      <c r="G73" s="15"/>
      <c r="H73" s="15"/>
    </row>
    <row r="74" spans="1:8" x14ac:dyDescent="0.25">
      <c r="A74" s="14"/>
      <c r="B74" s="15"/>
      <c r="C74" s="15"/>
      <c r="D74" s="16"/>
      <c r="E74" s="15"/>
      <c r="F74" s="15"/>
      <c r="G74" s="15"/>
      <c r="H74" s="15"/>
    </row>
    <row r="75" spans="1:8" x14ac:dyDescent="0.25">
      <c r="A75" s="14"/>
      <c r="B75" s="15"/>
      <c r="C75" s="15"/>
      <c r="D75" s="16"/>
      <c r="E75" s="15"/>
      <c r="F75" s="15"/>
      <c r="G75" s="15"/>
      <c r="H75" s="15"/>
    </row>
    <row r="76" spans="1:8" x14ac:dyDescent="0.25">
      <c r="A76" s="14"/>
      <c r="B76" s="15"/>
      <c r="C76" s="15"/>
      <c r="D76" s="16"/>
      <c r="E76" s="15"/>
      <c r="F76" s="15"/>
      <c r="G76" s="15"/>
      <c r="H76" s="15"/>
    </row>
    <row r="77" spans="1:8" x14ac:dyDescent="0.25">
      <c r="A77" s="14"/>
      <c r="B77" s="15"/>
      <c r="C77" s="15"/>
      <c r="D77" s="16"/>
      <c r="E77" s="15"/>
      <c r="F77" s="15"/>
      <c r="G77" s="15"/>
      <c r="H77" s="15"/>
    </row>
    <row r="78" spans="1:8" x14ac:dyDescent="0.25">
      <c r="A78" s="14"/>
      <c r="B78" s="15"/>
      <c r="C78" s="15"/>
      <c r="D78" s="16"/>
      <c r="E78" s="15"/>
      <c r="F78" s="15"/>
      <c r="G78" s="15"/>
      <c r="H78" s="15"/>
    </row>
    <row r="79" spans="1:8" x14ac:dyDescent="0.25">
      <c r="A79" s="14"/>
      <c r="B79" s="15"/>
      <c r="C79" s="15"/>
      <c r="D79" s="16"/>
      <c r="E79" s="15"/>
      <c r="F79" s="15"/>
      <c r="G79" s="15"/>
      <c r="H79" s="15"/>
    </row>
    <row r="80" spans="1:8" x14ac:dyDescent="0.25">
      <c r="A80" s="14"/>
      <c r="B80" s="15"/>
      <c r="C80" s="15"/>
      <c r="D80" s="16"/>
      <c r="E80" s="15"/>
      <c r="F80" s="15"/>
      <c r="G80" s="15"/>
      <c r="H80" s="15"/>
    </row>
    <row r="81" spans="1:8" x14ac:dyDescent="0.25">
      <c r="A81" s="14"/>
      <c r="B81" s="15"/>
      <c r="C81" s="15"/>
      <c r="D81" s="16"/>
      <c r="E81" s="15"/>
      <c r="F81" s="15"/>
      <c r="G81" s="15"/>
      <c r="H81" s="15"/>
    </row>
    <row r="82" spans="1:8" x14ac:dyDescent="0.25">
      <c r="A82" s="14"/>
      <c r="B82" s="15"/>
      <c r="C82" s="15"/>
      <c r="D82" s="16"/>
      <c r="E82" s="15"/>
      <c r="F82" s="15"/>
      <c r="G82" s="15"/>
      <c r="H82" s="15"/>
    </row>
    <row r="83" spans="1:8" x14ac:dyDescent="0.25">
      <c r="A83" s="14"/>
      <c r="B83" s="15"/>
      <c r="C83" s="15"/>
      <c r="D83" s="16"/>
      <c r="E83" s="15"/>
      <c r="F83" s="15"/>
      <c r="G83" s="15"/>
      <c r="H83" s="15"/>
    </row>
    <row r="84" spans="1:8" x14ac:dyDescent="0.25">
      <c r="A84" s="14"/>
      <c r="B84" s="15"/>
      <c r="C84" s="15"/>
      <c r="D84" s="16"/>
      <c r="E84" s="15"/>
      <c r="F84" s="15"/>
      <c r="G84" s="15"/>
      <c r="H84" s="15"/>
    </row>
    <row r="85" spans="1:8" x14ac:dyDescent="0.25">
      <c r="A85" s="14"/>
      <c r="B85" s="15"/>
      <c r="C85" s="15"/>
      <c r="D85" s="16"/>
      <c r="E85" s="15"/>
      <c r="F85" s="15"/>
      <c r="G85" s="15"/>
      <c r="H85" s="15"/>
    </row>
    <row r="86" spans="1:8" x14ac:dyDescent="0.25">
      <c r="A86" s="14"/>
      <c r="B86" s="15"/>
      <c r="C86" s="15"/>
      <c r="D86" s="16"/>
      <c r="E86" s="15"/>
      <c r="F86" s="15"/>
      <c r="G86" s="15"/>
      <c r="H86" s="15"/>
    </row>
    <row r="87" spans="1:8" x14ac:dyDescent="0.25">
      <c r="A87" s="14"/>
      <c r="B87" s="15"/>
      <c r="C87" s="15"/>
      <c r="D87" s="16"/>
      <c r="E87" s="15"/>
      <c r="F87" s="15"/>
      <c r="G87" s="15"/>
      <c r="H87" s="15"/>
    </row>
    <row r="88" spans="1:8" x14ac:dyDescent="0.25">
      <c r="A88" s="14"/>
      <c r="B88" s="15"/>
      <c r="C88" s="15"/>
      <c r="D88" s="16"/>
      <c r="E88" s="15"/>
      <c r="F88" s="15"/>
      <c r="G88" s="15"/>
      <c r="H88" s="15"/>
    </row>
    <row r="89" spans="1:8" x14ac:dyDescent="0.25">
      <c r="A89" s="14"/>
      <c r="B89" s="15"/>
      <c r="C89" s="15"/>
      <c r="D89" s="16"/>
      <c r="E89" s="15"/>
      <c r="F89" s="15"/>
      <c r="G89" s="15"/>
      <c r="H89" s="15"/>
    </row>
    <row r="90" spans="1:8" x14ac:dyDescent="0.25">
      <c r="A90" s="14"/>
      <c r="B90" s="15"/>
      <c r="C90" s="15"/>
      <c r="D90" s="16"/>
      <c r="E90" s="15"/>
      <c r="F90" s="15"/>
      <c r="G90" s="15"/>
      <c r="H90" s="15"/>
    </row>
    <row r="91" spans="1:8" x14ac:dyDescent="0.25">
      <c r="A91" s="14"/>
      <c r="B91" s="15"/>
      <c r="C91" s="15"/>
      <c r="D91" s="16"/>
      <c r="E91" s="15"/>
      <c r="F91" s="15"/>
      <c r="G91" s="15"/>
      <c r="H91" s="15"/>
    </row>
    <row r="92" spans="1:8" x14ac:dyDescent="0.25">
      <c r="A92" s="14"/>
      <c r="B92" s="15"/>
      <c r="C92" s="15"/>
      <c r="D92" s="16"/>
      <c r="E92" s="15"/>
      <c r="F92" s="15"/>
      <c r="G92" s="15"/>
      <c r="H92" s="15"/>
    </row>
    <row r="93" spans="1:8" x14ac:dyDescent="0.25">
      <c r="A93" s="14"/>
      <c r="B93" s="15"/>
      <c r="C93" s="15"/>
      <c r="D93" s="16"/>
      <c r="E93" s="15"/>
      <c r="F93" s="15"/>
      <c r="G93" s="15"/>
      <c r="H93" s="15"/>
    </row>
    <row r="94" spans="1:8" x14ac:dyDescent="0.25">
      <c r="A94" s="14"/>
      <c r="B94" s="15"/>
      <c r="C94" s="15"/>
      <c r="D94" s="16"/>
      <c r="E94" s="15"/>
      <c r="F94" s="15"/>
      <c r="G94" s="15"/>
      <c r="H94" s="15"/>
    </row>
    <row r="95" spans="1:8" x14ac:dyDescent="0.25">
      <c r="A95" s="14"/>
      <c r="B95" s="15"/>
      <c r="C95" s="15"/>
      <c r="D95" s="16"/>
      <c r="E95" s="15"/>
      <c r="F95" s="15"/>
      <c r="G95" s="15"/>
      <c r="H95" s="15"/>
    </row>
    <row r="96" spans="1:8" x14ac:dyDescent="0.25">
      <c r="A96" s="14"/>
      <c r="B96" s="15"/>
      <c r="C96" s="15"/>
      <c r="D96" s="16"/>
      <c r="E96" s="15"/>
      <c r="F96" s="15"/>
      <c r="G96" s="15"/>
      <c r="H96" s="15"/>
    </row>
    <row r="97" spans="1:8" x14ac:dyDescent="0.25">
      <c r="A97" s="14"/>
      <c r="B97" s="15"/>
      <c r="C97" s="15"/>
      <c r="D97" s="16"/>
      <c r="E97" s="15"/>
      <c r="F97" s="15"/>
      <c r="G97" s="15"/>
      <c r="H97" s="15"/>
    </row>
    <row r="98" spans="1:8" x14ac:dyDescent="0.25">
      <c r="A98" s="14"/>
      <c r="B98" s="15"/>
      <c r="C98" s="15"/>
      <c r="D98" s="16"/>
      <c r="E98" s="15"/>
      <c r="F98" s="15"/>
      <c r="G98" s="15"/>
      <c r="H98" s="15"/>
    </row>
    <row r="99" spans="1:8" x14ac:dyDescent="0.25">
      <c r="A99" s="14"/>
      <c r="B99" s="15"/>
      <c r="C99" s="15"/>
      <c r="D99" s="16"/>
      <c r="E99" s="15"/>
      <c r="F99" s="15"/>
      <c r="G99" s="15"/>
      <c r="H99" s="15"/>
    </row>
    <row r="100" spans="1:8" x14ac:dyDescent="0.25">
      <c r="A100" s="14"/>
      <c r="B100" s="15"/>
      <c r="C100" s="15"/>
      <c r="D100" s="16"/>
      <c r="E100" s="15"/>
      <c r="F100" s="15"/>
      <c r="G100" s="15"/>
      <c r="H100" s="15"/>
    </row>
    <row r="101" spans="1:8" x14ac:dyDescent="0.25">
      <c r="A101" s="14"/>
      <c r="B101" s="15"/>
      <c r="C101" s="15"/>
      <c r="D101" s="16"/>
      <c r="E101" s="15"/>
      <c r="F101" s="15"/>
      <c r="G101" s="15"/>
      <c r="H101" s="15"/>
    </row>
    <row r="102" spans="1:8" x14ac:dyDescent="0.25">
      <c r="A102" s="14"/>
      <c r="B102" s="15"/>
      <c r="C102" s="15"/>
      <c r="D102" s="16"/>
      <c r="E102" s="15"/>
      <c r="F102" s="15"/>
      <c r="G102" s="15"/>
      <c r="H102" s="15"/>
    </row>
    <row r="103" spans="1:8" x14ac:dyDescent="0.25">
      <c r="A103" s="14"/>
      <c r="B103" s="15"/>
      <c r="C103" s="15"/>
      <c r="D103" s="16"/>
      <c r="E103" s="15"/>
      <c r="F103" s="15"/>
      <c r="G103" s="15"/>
      <c r="H103" s="15"/>
    </row>
    <row r="104" spans="1:8" x14ac:dyDescent="0.25">
      <c r="A104" s="14"/>
      <c r="B104" s="15"/>
      <c r="C104" s="15"/>
      <c r="D104" s="16"/>
      <c r="E104" s="15"/>
      <c r="F104" s="15"/>
      <c r="G104" s="15"/>
      <c r="H104" s="15"/>
    </row>
    <row r="105" spans="1:8" x14ac:dyDescent="0.25">
      <c r="A105" s="14"/>
      <c r="B105" s="15"/>
      <c r="C105" s="15"/>
      <c r="D105" s="16"/>
      <c r="E105" s="15"/>
      <c r="F105" s="15"/>
      <c r="G105" s="15"/>
      <c r="H105" s="15"/>
    </row>
  </sheetData>
  <autoFilter ref="A5:H105"/>
  <mergeCells count="2">
    <mergeCell ref="A1:H1"/>
    <mergeCell ref="C2:H4"/>
  </mergeCells>
  <dataValidations count="6">
    <dataValidation type="list" allowBlank="1" sqref="E10:E105">
      <formula1>'Lists'!$A$2:$A$3</formula1>
    </dataValidation>
    <dataValidation type="list" allowBlank="1" sqref="E6:E105">
      <formula1>'Lists'!$A$2:$A$3</formula1>
    </dataValidation>
    <dataValidation type="list" allowBlank="1" sqref="F10:F105">
      <formula1>'Lists'!$B$2:$B$7</formula1>
    </dataValidation>
    <dataValidation type="list" allowBlank="1" sqref="F6:F105">
      <formula1>'Lists'!$B$2:$B$7</formula1>
    </dataValidation>
    <dataValidation type="list" allowBlank="1" sqref="G10:G105">
      <formula1>'Lists'!$C$2:$C$3</formula1>
    </dataValidation>
    <dataValidation type="list" allowBlank="1" sqref="G6:G105">
      <formula1>'Lists'!$C$2:$C$3</formula1>
    </dataValidation>
  </dataValidations>
  <pageSetup orientation="landscape" fitToWidth="1" fitToHeight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10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3" width="29" customWidth="1"/>
    <col min="4" max="4" width="16" customWidth="1"/>
    <col min="5" max="5" width="14" customWidth="1"/>
    <col min="6" max="6" width="23" customWidth="1"/>
    <col min="7" max="7" width="17" customWidth="1"/>
    <col min="8" max="8" width="28" customWidth="1"/>
  </cols>
  <sheetData>
    <row r="1" ht="30" customHeight="1" spans="1:8" x14ac:dyDescent="0.25">
      <c r="A1" s="1" t="s">
        <v>67</v>
      </c>
      <c r="B1" s="1"/>
      <c r="C1" s="1"/>
      <c r="D1" s="1"/>
      <c r="E1" s="1"/>
      <c r="F1" s="1"/>
      <c r="G1" s="1"/>
      <c r="H1" s="1"/>
    </row>
    <row r="2" spans="1:8" x14ac:dyDescent="0.25">
      <c r="A2" t="s">
        <v>28</v>
      </c>
      <c r="B2" s="9">
        <v>51200</v>
      </c>
      <c r="C2" s="10" t="s">
        <v>29</v>
      </c>
      <c r="D2" s="10"/>
      <c r="E2" s="10"/>
      <c r="F2" s="10"/>
      <c r="G2" s="10"/>
      <c r="H2" s="10"/>
    </row>
    <row r="3" spans="1:8" x14ac:dyDescent="0.25">
      <c r="A3" t="s">
        <v>30</v>
      </c>
      <c r="B3" s="9">
        <v>50000</v>
      </c>
      <c r="C3" s="10"/>
      <c r="D3" s="10"/>
      <c r="E3" s="10"/>
      <c r="F3" s="10"/>
      <c r="G3" s="10"/>
      <c r="H3" s="10"/>
    </row>
    <row r="4" spans="1:8" x14ac:dyDescent="0.25">
      <c r="A4" t="s">
        <v>5</v>
      </c>
      <c r="B4" s="11">
        <v>46203</v>
      </c>
      <c r="C4" s="10"/>
      <c r="D4" s="10"/>
      <c r="E4" s="10"/>
      <c r="F4" s="10"/>
      <c r="G4" s="10"/>
      <c r="H4" s="10"/>
    </row>
    <row r="5" ht="38" customHeight="1" spans="1:8" x14ac:dyDescent="0.25">
      <c r="A5" s="12" t="s">
        <v>31</v>
      </c>
      <c r="B5" s="12" t="s">
        <v>32</v>
      </c>
      <c r="C5" s="12" t="s">
        <v>33</v>
      </c>
      <c r="D5" s="13" t="s">
        <v>34</v>
      </c>
      <c r="E5" s="12" t="s">
        <v>35</v>
      </c>
      <c r="F5" s="12" t="s">
        <v>36</v>
      </c>
      <c r="G5" s="12" t="s">
        <v>37</v>
      </c>
      <c r="H5" s="12" t="s">
        <v>38</v>
      </c>
    </row>
    <row r="6" spans="1:8" x14ac:dyDescent="0.25">
      <c r="A6" s="14">
        <v>46203</v>
      </c>
      <c r="B6" s="15" t="s">
        <v>39</v>
      </c>
      <c r="C6" s="15" t="s">
        <v>40</v>
      </c>
      <c r="D6" s="16">
        <v>2500</v>
      </c>
      <c r="E6" s="15" t="s">
        <v>41</v>
      </c>
      <c r="F6" s="15" t="s">
        <v>42</v>
      </c>
      <c r="G6" s="15" t="s">
        <v>43</v>
      </c>
      <c r="H6" s="15" t="s">
        <v>44</v>
      </c>
    </row>
    <row r="7" spans="1:8" x14ac:dyDescent="0.25">
      <c r="A7" s="14">
        <v>46203</v>
      </c>
      <c r="B7" s="15" t="s">
        <v>45</v>
      </c>
      <c r="C7" s="15" t="s">
        <v>46</v>
      </c>
      <c r="D7" s="16">
        <v>3000</v>
      </c>
      <c r="E7" s="15" t="s">
        <v>41</v>
      </c>
      <c r="F7" s="15" t="s">
        <v>47</v>
      </c>
      <c r="G7" s="15" t="s">
        <v>43</v>
      </c>
      <c r="H7" s="15" t="s">
        <v>48</v>
      </c>
    </row>
    <row r="8" spans="1:8" x14ac:dyDescent="0.25">
      <c r="A8" s="14">
        <v>46203</v>
      </c>
      <c r="B8" s="15" t="s">
        <v>49</v>
      </c>
      <c r="C8" s="15" t="s">
        <v>50</v>
      </c>
      <c r="D8" s="16">
        <v>-50</v>
      </c>
      <c r="E8" s="15" t="s">
        <v>51</v>
      </c>
      <c r="F8" s="15" t="s">
        <v>52</v>
      </c>
      <c r="G8" s="15" t="s">
        <v>53</v>
      </c>
      <c r="H8" s="15" t="s">
        <v>54</v>
      </c>
    </row>
    <row r="9" spans="1:8" x14ac:dyDescent="0.25">
      <c r="A9" s="14">
        <v>46203</v>
      </c>
      <c r="B9" s="15" t="s">
        <v>55</v>
      </c>
      <c r="C9" s="15" t="s">
        <v>56</v>
      </c>
      <c r="D9" s="16">
        <v>1650</v>
      </c>
      <c r="E9" s="15" t="s">
        <v>41</v>
      </c>
      <c r="F9" s="15" t="s">
        <v>57</v>
      </c>
      <c r="G9" s="15" t="s">
        <v>53</v>
      </c>
      <c r="H9" s="15" t="s">
        <v>58</v>
      </c>
    </row>
    <row r="10" spans="1:8" x14ac:dyDescent="0.25">
      <c r="A10" s="14">
        <v>46203</v>
      </c>
      <c r="B10" s="15" t="s">
        <v>59</v>
      </c>
      <c r="C10" s="15" t="s">
        <v>60</v>
      </c>
      <c r="D10" s="16">
        <v>75</v>
      </c>
      <c r="E10" s="15" t="s">
        <v>51</v>
      </c>
      <c r="F10" s="15" t="s">
        <v>61</v>
      </c>
      <c r="G10" s="15" t="s">
        <v>43</v>
      </c>
      <c r="H10" s="15" t="s">
        <v>62</v>
      </c>
    </row>
    <row r="11" spans="1:8" x14ac:dyDescent="0.25">
      <c r="A11" s="14">
        <v>46203</v>
      </c>
      <c r="B11" s="15" t="s">
        <v>63</v>
      </c>
      <c r="C11" s="15" t="s">
        <v>64</v>
      </c>
      <c r="D11" s="16">
        <v>100</v>
      </c>
      <c r="E11" s="15" t="s">
        <v>51</v>
      </c>
      <c r="F11" s="15" t="s">
        <v>53</v>
      </c>
      <c r="G11" s="15" t="s">
        <v>53</v>
      </c>
      <c r="H11" s="15" t="s">
        <v>65</v>
      </c>
    </row>
    <row r="12" spans="1:8" x14ac:dyDescent="0.25">
      <c r="A12" s="14">
        <v>46203</v>
      </c>
      <c r="B12" s="15" t="s">
        <v>63</v>
      </c>
      <c r="C12" s="15" t="s">
        <v>66</v>
      </c>
      <c r="D12" s="16">
        <v>-100</v>
      </c>
      <c r="E12" s="15" t="s">
        <v>41</v>
      </c>
      <c r="F12" s="15" t="s">
        <v>53</v>
      </c>
      <c r="G12" s="15" t="s">
        <v>53</v>
      </c>
      <c r="H12" s="15" t="s">
        <v>65</v>
      </c>
    </row>
    <row r="13" spans="1:8" x14ac:dyDescent="0.25">
      <c r="A13" s="14"/>
      <c r="B13" s="15"/>
      <c r="C13" s="15"/>
      <c r="D13" s="16"/>
      <c r="E13" s="15"/>
      <c r="F13" s="15"/>
      <c r="G13" s="15"/>
      <c r="H13" s="15"/>
    </row>
    <row r="14" spans="1:8" x14ac:dyDescent="0.25">
      <c r="A14" s="14"/>
      <c r="B14" s="15"/>
      <c r="C14" s="15"/>
      <c r="D14" s="16"/>
      <c r="E14" s="15"/>
      <c r="F14" s="15"/>
      <c r="G14" s="15"/>
      <c r="H14" s="15"/>
    </row>
    <row r="15" spans="1:8" x14ac:dyDescent="0.25">
      <c r="A15" s="14"/>
      <c r="B15" s="15"/>
      <c r="C15" s="15"/>
      <c r="D15" s="16"/>
      <c r="E15" s="15"/>
      <c r="F15" s="15"/>
      <c r="G15" s="15"/>
      <c r="H15" s="15"/>
    </row>
    <row r="16" spans="1:8" x14ac:dyDescent="0.25">
      <c r="A16" s="14"/>
      <c r="B16" s="15"/>
      <c r="C16" s="15"/>
      <c r="D16" s="16"/>
      <c r="E16" s="15"/>
      <c r="F16" s="15"/>
      <c r="G16" s="15"/>
      <c r="H16" s="15"/>
    </row>
    <row r="17" spans="1:8" x14ac:dyDescent="0.25">
      <c r="A17" s="14"/>
      <c r="B17" s="15"/>
      <c r="C17" s="15"/>
      <c r="D17" s="16"/>
      <c r="E17" s="15"/>
      <c r="F17" s="15"/>
      <c r="G17" s="15"/>
      <c r="H17" s="15"/>
    </row>
    <row r="18" spans="1:8" x14ac:dyDescent="0.25">
      <c r="A18" s="14"/>
      <c r="B18" s="15"/>
      <c r="C18" s="15"/>
      <c r="D18" s="16"/>
      <c r="E18" s="15"/>
      <c r="F18" s="15"/>
      <c r="G18" s="15"/>
      <c r="H18" s="15"/>
    </row>
    <row r="19" spans="1:8" x14ac:dyDescent="0.25">
      <c r="A19" s="14"/>
      <c r="B19" s="15"/>
      <c r="C19" s="15"/>
      <c r="D19" s="16"/>
      <c r="E19" s="15"/>
      <c r="F19" s="15"/>
      <c r="G19" s="15"/>
      <c r="H19" s="15"/>
    </row>
    <row r="20" spans="1:8" x14ac:dyDescent="0.25">
      <c r="A20" s="14"/>
      <c r="B20" s="15"/>
      <c r="C20" s="15"/>
      <c r="D20" s="16"/>
      <c r="E20" s="15"/>
      <c r="F20" s="15"/>
      <c r="G20" s="15"/>
      <c r="H20" s="15"/>
    </row>
    <row r="21" spans="1:8" x14ac:dyDescent="0.25">
      <c r="A21" s="14"/>
      <c r="B21" s="15"/>
      <c r="C21" s="15"/>
      <c r="D21" s="16"/>
      <c r="E21" s="15"/>
      <c r="F21" s="15"/>
      <c r="G21" s="15"/>
      <c r="H21" s="15"/>
    </row>
    <row r="22" spans="1:8" x14ac:dyDescent="0.25">
      <c r="A22" s="14"/>
      <c r="B22" s="15"/>
      <c r="C22" s="15"/>
      <c r="D22" s="16"/>
      <c r="E22" s="15"/>
      <c r="F22" s="15"/>
      <c r="G22" s="15"/>
      <c r="H22" s="15"/>
    </row>
    <row r="23" spans="1:8" x14ac:dyDescent="0.25">
      <c r="A23" s="14"/>
      <c r="B23" s="15"/>
      <c r="C23" s="15"/>
      <c r="D23" s="16"/>
      <c r="E23" s="15"/>
      <c r="F23" s="15"/>
      <c r="G23" s="15"/>
      <c r="H23" s="15"/>
    </row>
    <row r="24" spans="1:8" x14ac:dyDescent="0.25">
      <c r="A24" s="14"/>
      <c r="B24" s="15"/>
      <c r="C24" s="15"/>
      <c r="D24" s="16"/>
      <c r="E24" s="15"/>
      <c r="F24" s="15"/>
      <c r="G24" s="15"/>
      <c r="H24" s="15"/>
    </row>
    <row r="25" spans="1:8" x14ac:dyDescent="0.25">
      <c r="A25" s="14"/>
      <c r="B25" s="15"/>
      <c r="C25" s="15"/>
      <c r="D25" s="16"/>
      <c r="E25" s="15"/>
      <c r="F25" s="15"/>
      <c r="G25" s="15"/>
      <c r="H25" s="15"/>
    </row>
    <row r="26" spans="1:8" x14ac:dyDescent="0.25">
      <c r="A26" s="14"/>
      <c r="B26" s="15"/>
      <c r="C26" s="15"/>
      <c r="D26" s="16"/>
      <c r="E26" s="15"/>
      <c r="F26" s="15"/>
      <c r="G26" s="15"/>
      <c r="H26" s="15"/>
    </row>
    <row r="27" spans="1:8" x14ac:dyDescent="0.25">
      <c r="A27" s="14"/>
      <c r="B27" s="15"/>
      <c r="C27" s="15"/>
      <c r="D27" s="16"/>
      <c r="E27" s="15"/>
      <c r="F27" s="15"/>
      <c r="G27" s="15"/>
      <c r="H27" s="15"/>
    </row>
    <row r="28" spans="1:8" x14ac:dyDescent="0.25">
      <c r="A28" s="14"/>
      <c r="B28" s="15"/>
      <c r="C28" s="15"/>
      <c r="D28" s="16"/>
      <c r="E28" s="15"/>
      <c r="F28" s="15"/>
      <c r="G28" s="15"/>
      <c r="H28" s="15"/>
    </row>
    <row r="29" spans="1:8" x14ac:dyDescent="0.25">
      <c r="A29" s="14"/>
      <c r="B29" s="15"/>
      <c r="C29" s="15"/>
      <c r="D29" s="16"/>
      <c r="E29" s="15"/>
      <c r="F29" s="15"/>
      <c r="G29" s="15"/>
      <c r="H29" s="15"/>
    </row>
    <row r="30" spans="1:8" x14ac:dyDescent="0.25">
      <c r="A30" s="14"/>
      <c r="B30" s="15"/>
      <c r="C30" s="15"/>
      <c r="D30" s="16"/>
      <c r="E30" s="15"/>
      <c r="F30" s="15"/>
      <c r="G30" s="15"/>
      <c r="H30" s="15"/>
    </row>
    <row r="31" spans="1:8" x14ac:dyDescent="0.25">
      <c r="A31" s="14"/>
      <c r="B31" s="15"/>
      <c r="C31" s="15"/>
      <c r="D31" s="16"/>
      <c r="E31" s="15"/>
      <c r="F31" s="15"/>
      <c r="G31" s="15"/>
      <c r="H31" s="15"/>
    </row>
    <row r="32" spans="1:8" x14ac:dyDescent="0.25">
      <c r="A32" s="14"/>
      <c r="B32" s="15"/>
      <c r="C32" s="15"/>
      <c r="D32" s="16"/>
      <c r="E32" s="15"/>
      <c r="F32" s="15"/>
      <c r="G32" s="15"/>
      <c r="H32" s="15"/>
    </row>
    <row r="33" spans="1:8" x14ac:dyDescent="0.25">
      <c r="A33" s="14"/>
      <c r="B33" s="15"/>
      <c r="C33" s="15"/>
      <c r="D33" s="16"/>
      <c r="E33" s="15"/>
      <c r="F33" s="15"/>
      <c r="G33" s="15"/>
      <c r="H33" s="15"/>
    </row>
    <row r="34" spans="1:8" x14ac:dyDescent="0.25">
      <c r="A34" s="14"/>
      <c r="B34" s="15"/>
      <c r="C34" s="15"/>
      <c r="D34" s="16"/>
      <c r="E34" s="15"/>
      <c r="F34" s="15"/>
      <c r="G34" s="15"/>
      <c r="H34" s="15"/>
    </row>
    <row r="35" spans="1:8" x14ac:dyDescent="0.25">
      <c r="A35" s="14"/>
      <c r="B35" s="15"/>
      <c r="C35" s="15"/>
      <c r="D35" s="16"/>
      <c r="E35" s="15"/>
      <c r="F35" s="15"/>
      <c r="G35" s="15"/>
      <c r="H35" s="15"/>
    </row>
    <row r="36" spans="1:8" x14ac:dyDescent="0.25">
      <c r="A36" s="14"/>
      <c r="B36" s="15"/>
      <c r="C36" s="15"/>
      <c r="D36" s="16"/>
      <c r="E36" s="15"/>
      <c r="F36" s="15"/>
      <c r="G36" s="15"/>
      <c r="H36" s="15"/>
    </row>
    <row r="37" spans="1:8" x14ac:dyDescent="0.25">
      <c r="A37" s="14"/>
      <c r="B37" s="15"/>
      <c r="C37" s="15"/>
      <c r="D37" s="16"/>
      <c r="E37" s="15"/>
      <c r="F37" s="15"/>
      <c r="G37" s="15"/>
      <c r="H37" s="15"/>
    </row>
    <row r="38" spans="1:8" x14ac:dyDescent="0.25">
      <c r="A38" s="14"/>
      <c r="B38" s="15"/>
      <c r="C38" s="15"/>
      <c r="D38" s="16"/>
      <c r="E38" s="15"/>
      <c r="F38" s="15"/>
      <c r="G38" s="15"/>
      <c r="H38" s="15"/>
    </row>
    <row r="39" spans="1:8" x14ac:dyDescent="0.25">
      <c r="A39" s="14"/>
      <c r="B39" s="15"/>
      <c r="C39" s="15"/>
      <c r="D39" s="16"/>
      <c r="E39" s="15"/>
      <c r="F39" s="15"/>
      <c r="G39" s="15"/>
      <c r="H39" s="15"/>
    </row>
    <row r="40" spans="1:8" x14ac:dyDescent="0.25">
      <c r="A40" s="14"/>
      <c r="B40" s="15"/>
      <c r="C40" s="15"/>
      <c r="D40" s="16"/>
      <c r="E40" s="15"/>
      <c r="F40" s="15"/>
      <c r="G40" s="15"/>
      <c r="H40" s="15"/>
    </row>
    <row r="41" spans="1:8" x14ac:dyDescent="0.25">
      <c r="A41" s="14"/>
      <c r="B41" s="15"/>
      <c r="C41" s="15"/>
      <c r="D41" s="16"/>
      <c r="E41" s="15"/>
      <c r="F41" s="15"/>
      <c r="G41" s="15"/>
      <c r="H41" s="15"/>
    </row>
    <row r="42" spans="1:8" x14ac:dyDescent="0.25">
      <c r="A42" s="14"/>
      <c r="B42" s="15"/>
      <c r="C42" s="15"/>
      <c r="D42" s="16"/>
      <c r="E42" s="15"/>
      <c r="F42" s="15"/>
      <c r="G42" s="15"/>
      <c r="H42" s="15"/>
    </row>
    <row r="43" spans="1:8" x14ac:dyDescent="0.25">
      <c r="A43" s="14"/>
      <c r="B43" s="15"/>
      <c r="C43" s="15"/>
      <c r="D43" s="16"/>
      <c r="E43" s="15"/>
      <c r="F43" s="15"/>
      <c r="G43" s="15"/>
      <c r="H43" s="15"/>
    </row>
    <row r="44" spans="1:8" x14ac:dyDescent="0.25">
      <c r="A44" s="14"/>
      <c r="B44" s="15"/>
      <c r="C44" s="15"/>
      <c r="D44" s="16"/>
      <c r="E44" s="15"/>
      <c r="F44" s="15"/>
      <c r="G44" s="15"/>
      <c r="H44" s="15"/>
    </row>
    <row r="45" spans="1:8" x14ac:dyDescent="0.25">
      <c r="A45" s="14"/>
      <c r="B45" s="15"/>
      <c r="C45" s="15"/>
      <c r="D45" s="16"/>
      <c r="E45" s="15"/>
      <c r="F45" s="15"/>
      <c r="G45" s="15"/>
      <c r="H45" s="15"/>
    </row>
    <row r="46" spans="1:8" x14ac:dyDescent="0.25">
      <c r="A46" s="14"/>
      <c r="B46" s="15"/>
      <c r="C46" s="15"/>
      <c r="D46" s="16"/>
      <c r="E46" s="15"/>
      <c r="F46" s="15"/>
      <c r="G46" s="15"/>
      <c r="H46" s="15"/>
    </row>
    <row r="47" spans="1:8" x14ac:dyDescent="0.25">
      <c r="A47" s="14"/>
      <c r="B47" s="15"/>
      <c r="C47" s="15"/>
      <c r="D47" s="16"/>
      <c r="E47" s="15"/>
      <c r="F47" s="15"/>
      <c r="G47" s="15"/>
      <c r="H47" s="15"/>
    </row>
    <row r="48" spans="1:8" x14ac:dyDescent="0.25">
      <c r="A48" s="14"/>
      <c r="B48" s="15"/>
      <c r="C48" s="15"/>
      <c r="D48" s="16"/>
      <c r="E48" s="15"/>
      <c r="F48" s="15"/>
      <c r="G48" s="15"/>
      <c r="H48" s="15"/>
    </row>
    <row r="49" spans="1:8" x14ac:dyDescent="0.25">
      <c r="A49" s="14"/>
      <c r="B49" s="15"/>
      <c r="C49" s="15"/>
      <c r="D49" s="16"/>
      <c r="E49" s="15"/>
      <c r="F49" s="15"/>
      <c r="G49" s="15"/>
      <c r="H49" s="15"/>
    </row>
    <row r="50" spans="1:8" x14ac:dyDescent="0.25">
      <c r="A50" s="14"/>
      <c r="B50" s="15"/>
      <c r="C50" s="15"/>
      <c r="D50" s="16"/>
      <c r="E50" s="15"/>
      <c r="F50" s="15"/>
      <c r="G50" s="15"/>
      <c r="H50" s="15"/>
    </row>
    <row r="51" spans="1:8" x14ac:dyDescent="0.25">
      <c r="A51" s="14"/>
      <c r="B51" s="15"/>
      <c r="C51" s="15"/>
      <c r="D51" s="16"/>
      <c r="E51" s="15"/>
      <c r="F51" s="15"/>
      <c r="G51" s="15"/>
      <c r="H51" s="15"/>
    </row>
    <row r="52" spans="1:8" x14ac:dyDescent="0.25">
      <c r="A52" s="14"/>
      <c r="B52" s="15"/>
      <c r="C52" s="15"/>
      <c r="D52" s="16"/>
      <c r="E52" s="15"/>
      <c r="F52" s="15"/>
      <c r="G52" s="15"/>
      <c r="H52" s="15"/>
    </row>
    <row r="53" spans="1:8" x14ac:dyDescent="0.25">
      <c r="A53" s="14"/>
      <c r="B53" s="15"/>
      <c r="C53" s="15"/>
      <c r="D53" s="16"/>
      <c r="E53" s="15"/>
      <c r="F53" s="15"/>
      <c r="G53" s="15"/>
      <c r="H53" s="15"/>
    </row>
    <row r="54" spans="1:8" x14ac:dyDescent="0.25">
      <c r="A54" s="14"/>
      <c r="B54" s="15"/>
      <c r="C54" s="15"/>
      <c r="D54" s="16"/>
      <c r="E54" s="15"/>
      <c r="F54" s="15"/>
      <c r="G54" s="15"/>
      <c r="H54" s="15"/>
    </row>
    <row r="55" spans="1:8" x14ac:dyDescent="0.25">
      <c r="A55" s="14"/>
      <c r="B55" s="15"/>
      <c r="C55" s="15"/>
      <c r="D55" s="16"/>
      <c r="E55" s="15"/>
      <c r="F55" s="15"/>
      <c r="G55" s="15"/>
      <c r="H55" s="15"/>
    </row>
    <row r="56" spans="1:8" x14ac:dyDescent="0.25">
      <c r="A56" s="14"/>
      <c r="B56" s="15"/>
      <c r="C56" s="15"/>
      <c r="D56" s="16"/>
      <c r="E56" s="15"/>
      <c r="F56" s="15"/>
      <c r="G56" s="15"/>
      <c r="H56" s="15"/>
    </row>
    <row r="57" spans="1:8" x14ac:dyDescent="0.25">
      <c r="A57" s="14"/>
      <c r="B57" s="15"/>
      <c r="C57" s="15"/>
      <c r="D57" s="16"/>
      <c r="E57" s="15"/>
      <c r="F57" s="15"/>
      <c r="G57" s="15"/>
      <c r="H57" s="15"/>
    </row>
    <row r="58" spans="1:8" x14ac:dyDescent="0.25">
      <c r="A58" s="14"/>
      <c r="B58" s="15"/>
      <c r="C58" s="15"/>
      <c r="D58" s="16"/>
      <c r="E58" s="15"/>
      <c r="F58" s="15"/>
      <c r="G58" s="15"/>
      <c r="H58" s="15"/>
    </row>
    <row r="59" spans="1:8" x14ac:dyDescent="0.25">
      <c r="A59" s="14"/>
      <c r="B59" s="15"/>
      <c r="C59" s="15"/>
      <c r="D59" s="16"/>
      <c r="E59" s="15"/>
      <c r="F59" s="15"/>
      <c r="G59" s="15"/>
      <c r="H59" s="15"/>
    </row>
    <row r="60" spans="1:8" x14ac:dyDescent="0.25">
      <c r="A60" s="14"/>
      <c r="B60" s="15"/>
      <c r="C60" s="15"/>
      <c r="D60" s="16"/>
      <c r="E60" s="15"/>
      <c r="F60" s="15"/>
      <c r="G60" s="15"/>
      <c r="H60" s="15"/>
    </row>
    <row r="61" spans="1:8" x14ac:dyDescent="0.25">
      <c r="A61" s="14"/>
      <c r="B61" s="15"/>
      <c r="C61" s="15"/>
      <c r="D61" s="16"/>
      <c r="E61" s="15"/>
      <c r="F61" s="15"/>
      <c r="G61" s="15"/>
      <c r="H61" s="15"/>
    </row>
    <row r="62" spans="1:8" x14ac:dyDescent="0.25">
      <c r="A62" s="14"/>
      <c r="B62" s="15"/>
      <c r="C62" s="15"/>
      <c r="D62" s="16"/>
      <c r="E62" s="15"/>
      <c r="F62" s="15"/>
      <c r="G62" s="15"/>
      <c r="H62" s="15"/>
    </row>
    <row r="63" spans="1:8" x14ac:dyDescent="0.25">
      <c r="A63" s="14"/>
      <c r="B63" s="15"/>
      <c r="C63" s="15"/>
      <c r="D63" s="16"/>
      <c r="E63" s="15"/>
      <c r="F63" s="15"/>
      <c r="G63" s="15"/>
      <c r="H63" s="15"/>
    </row>
    <row r="64" spans="1:8" x14ac:dyDescent="0.25">
      <c r="A64" s="14"/>
      <c r="B64" s="15"/>
      <c r="C64" s="15"/>
      <c r="D64" s="16"/>
      <c r="E64" s="15"/>
      <c r="F64" s="15"/>
      <c r="G64" s="15"/>
      <c r="H64" s="15"/>
    </row>
    <row r="65" spans="1:8" x14ac:dyDescent="0.25">
      <c r="A65" s="14"/>
      <c r="B65" s="15"/>
      <c r="C65" s="15"/>
      <c r="D65" s="16"/>
      <c r="E65" s="15"/>
      <c r="F65" s="15"/>
      <c r="G65" s="15"/>
      <c r="H65" s="15"/>
    </row>
    <row r="66" spans="1:8" x14ac:dyDescent="0.25">
      <c r="A66" s="14"/>
      <c r="B66" s="15"/>
      <c r="C66" s="15"/>
      <c r="D66" s="16"/>
      <c r="E66" s="15"/>
      <c r="F66" s="15"/>
      <c r="G66" s="15"/>
      <c r="H66" s="15"/>
    </row>
    <row r="67" spans="1:8" x14ac:dyDescent="0.25">
      <c r="A67" s="14"/>
      <c r="B67" s="15"/>
      <c r="C67" s="15"/>
      <c r="D67" s="16"/>
      <c r="E67" s="15"/>
      <c r="F67" s="15"/>
      <c r="G67" s="15"/>
      <c r="H67" s="15"/>
    </row>
    <row r="68" spans="1:8" x14ac:dyDescent="0.25">
      <c r="A68" s="14"/>
      <c r="B68" s="15"/>
      <c r="C68" s="15"/>
      <c r="D68" s="16"/>
      <c r="E68" s="15"/>
      <c r="F68" s="15"/>
      <c r="G68" s="15"/>
      <c r="H68" s="15"/>
    </row>
    <row r="69" spans="1:8" x14ac:dyDescent="0.25">
      <c r="A69" s="14"/>
      <c r="B69" s="15"/>
      <c r="C69" s="15"/>
      <c r="D69" s="16"/>
      <c r="E69" s="15"/>
      <c r="F69" s="15"/>
      <c r="G69" s="15"/>
      <c r="H69" s="15"/>
    </row>
    <row r="70" spans="1:8" x14ac:dyDescent="0.25">
      <c r="A70" s="14"/>
      <c r="B70" s="15"/>
      <c r="C70" s="15"/>
      <c r="D70" s="16"/>
      <c r="E70" s="15"/>
      <c r="F70" s="15"/>
      <c r="G70" s="15"/>
      <c r="H70" s="15"/>
    </row>
    <row r="71" spans="1:8" x14ac:dyDescent="0.25">
      <c r="A71" s="14"/>
      <c r="B71" s="15"/>
      <c r="C71" s="15"/>
      <c r="D71" s="16"/>
      <c r="E71" s="15"/>
      <c r="F71" s="15"/>
      <c r="G71" s="15"/>
      <c r="H71" s="15"/>
    </row>
    <row r="72" spans="1:8" x14ac:dyDescent="0.25">
      <c r="A72" s="14"/>
      <c r="B72" s="15"/>
      <c r="C72" s="15"/>
      <c r="D72" s="16"/>
      <c r="E72" s="15"/>
      <c r="F72" s="15"/>
      <c r="G72" s="15"/>
      <c r="H72" s="15"/>
    </row>
    <row r="73" spans="1:8" x14ac:dyDescent="0.25">
      <c r="A73" s="14"/>
      <c r="B73" s="15"/>
      <c r="C73" s="15"/>
      <c r="D73" s="16"/>
      <c r="E73" s="15"/>
      <c r="F73" s="15"/>
      <c r="G73" s="15"/>
      <c r="H73" s="15"/>
    </row>
    <row r="74" spans="1:8" x14ac:dyDescent="0.25">
      <c r="A74" s="14"/>
      <c r="B74" s="15"/>
      <c r="C74" s="15"/>
      <c r="D74" s="16"/>
      <c r="E74" s="15"/>
      <c r="F74" s="15"/>
      <c r="G74" s="15"/>
      <c r="H74" s="15"/>
    </row>
    <row r="75" spans="1:8" x14ac:dyDescent="0.25">
      <c r="A75" s="14"/>
      <c r="B75" s="15"/>
      <c r="C75" s="15"/>
      <c r="D75" s="16"/>
      <c r="E75" s="15"/>
      <c r="F75" s="15"/>
      <c r="G75" s="15"/>
      <c r="H75" s="15"/>
    </row>
    <row r="76" spans="1:8" x14ac:dyDescent="0.25">
      <c r="A76" s="14"/>
      <c r="B76" s="15"/>
      <c r="C76" s="15"/>
      <c r="D76" s="16"/>
      <c r="E76" s="15"/>
      <c r="F76" s="15"/>
      <c r="G76" s="15"/>
      <c r="H76" s="15"/>
    </row>
    <row r="77" spans="1:8" x14ac:dyDescent="0.25">
      <c r="A77" s="14"/>
      <c r="B77" s="15"/>
      <c r="C77" s="15"/>
      <c r="D77" s="16"/>
      <c r="E77" s="15"/>
      <c r="F77" s="15"/>
      <c r="G77" s="15"/>
      <c r="H77" s="15"/>
    </row>
    <row r="78" spans="1:8" x14ac:dyDescent="0.25">
      <c r="A78" s="14"/>
      <c r="B78" s="15"/>
      <c r="C78" s="15"/>
      <c r="D78" s="16"/>
      <c r="E78" s="15"/>
      <c r="F78" s="15"/>
      <c r="G78" s="15"/>
      <c r="H78" s="15"/>
    </row>
    <row r="79" spans="1:8" x14ac:dyDescent="0.25">
      <c r="A79" s="14"/>
      <c r="B79" s="15"/>
      <c r="C79" s="15"/>
      <c r="D79" s="16"/>
      <c r="E79" s="15"/>
      <c r="F79" s="15"/>
      <c r="G79" s="15"/>
      <c r="H79" s="15"/>
    </row>
    <row r="80" spans="1:8" x14ac:dyDescent="0.25">
      <c r="A80" s="14"/>
      <c r="B80" s="15"/>
      <c r="C80" s="15"/>
      <c r="D80" s="16"/>
      <c r="E80" s="15"/>
      <c r="F80" s="15"/>
      <c r="G80" s="15"/>
      <c r="H80" s="15"/>
    </row>
    <row r="81" spans="1:8" x14ac:dyDescent="0.25">
      <c r="A81" s="14"/>
      <c r="B81" s="15"/>
      <c r="C81" s="15"/>
      <c r="D81" s="16"/>
      <c r="E81" s="15"/>
      <c r="F81" s="15"/>
      <c r="G81" s="15"/>
      <c r="H81" s="15"/>
    </row>
    <row r="82" spans="1:8" x14ac:dyDescent="0.25">
      <c r="A82" s="14"/>
      <c r="B82" s="15"/>
      <c r="C82" s="15"/>
      <c r="D82" s="16"/>
      <c r="E82" s="15"/>
      <c r="F82" s="15"/>
      <c r="G82" s="15"/>
      <c r="H82" s="15"/>
    </row>
    <row r="83" spans="1:8" x14ac:dyDescent="0.25">
      <c r="A83" s="14"/>
      <c r="B83" s="15"/>
      <c r="C83" s="15"/>
      <c r="D83" s="16"/>
      <c r="E83" s="15"/>
      <c r="F83" s="15"/>
      <c r="G83" s="15"/>
      <c r="H83" s="15"/>
    </row>
    <row r="84" spans="1:8" x14ac:dyDescent="0.25">
      <c r="A84" s="14"/>
      <c r="B84" s="15"/>
      <c r="C84" s="15"/>
      <c r="D84" s="16"/>
      <c r="E84" s="15"/>
      <c r="F84" s="15"/>
      <c r="G84" s="15"/>
      <c r="H84" s="15"/>
    </row>
    <row r="85" spans="1:8" x14ac:dyDescent="0.25">
      <c r="A85" s="14"/>
      <c r="B85" s="15"/>
      <c r="C85" s="15"/>
      <c r="D85" s="16"/>
      <c r="E85" s="15"/>
      <c r="F85" s="15"/>
      <c r="G85" s="15"/>
      <c r="H85" s="15"/>
    </row>
    <row r="86" spans="1:8" x14ac:dyDescent="0.25">
      <c r="A86" s="14"/>
      <c r="B86" s="15"/>
      <c r="C86" s="15"/>
      <c r="D86" s="16"/>
      <c r="E86" s="15"/>
      <c r="F86" s="15"/>
      <c r="G86" s="15"/>
      <c r="H86" s="15"/>
    </row>
    <row r="87" spans="1:8" x14ac:dyDescent="0.25">
      <c r="A87" s="14"/>
      <c r="B87" s="15"/>
      <c r="C87" s="15"/>
      <c r="D87" s="16"/>
      <c r="E87" s="15"/>
      <c r="F87" s="15"/>
      <c r="G87" s="15"/>
      <c r="H87" s="15"/>
    </row>
    <row r="88" spans="1:8" x14ac:dyDescent="0.25">
      <c r="A88" s="14"/>
      <c r="B88" s="15"/>
      <c r="C88" s="15"/>
      <c r="D88" s="16"/>
      <c r="E88" s="15"/>
      <c r="F88" s="15"/>
      <c r="G88" s="15"/>
      <c r="H88" s="15"/>
    </row>
    <row r="89" spans="1:8" x14ac:dyDescent="0.25">
      <c r="A89" s="14"/>
      <c r="B89" s="15"/>
      <c r="C89" s="15"/>
      <c r="D89" s="16"/>
      <c r="E89" s="15"/>
      <c r="F89" s="15"/>
      <c r="G89" s="15"/>
      <c r="H89" s="15"/>
    </row>
    <row r="90" spans="1:8" x14ac:dyDescent="0.25">
      <c r="A90" s="14"/>
      <c r="B90" s="15"/>
      <c r="C90" s="15"/>
      <c r="D90" s="16"/>
      <c r="E90" s="15"/>
      <c r="F90" s="15"/>
      <c r="G90" s="15"/>
      <c r="H90" s="15"/>
    </row>
    <row r="91" spans="1:8" x14ac:dyDescent="0.25">
      <c r="A91" s="14"/>
      <c r="B91" s="15"/>
      <c r="C91" s="15"/>
      <c r="D91" s="16"/>
      <c r="E91" s="15"/>
      <c r="F91" s="15"/>
      <c r="G91" s="15"/>
      <c r="H91" s="15"/>
    </row>
    <row r="92" spans="1:8" x14ac:dyDescent="0.25">
      <c r="A92" s="14"/>
      <c r="B92" s="15"/>
      <c r="C92" s="15"/>
      <c r="D92" s="16"/>
      <c r="E92" s="15"/>
      <c r="F92" s="15"/>
      <c r="G92" s="15"/>
      <c r="H92" s="15"/>
    </row>
    <row r="93" spans="1:8" x14ac:dyDescent="0.25">
      <c r="A93" s="14"/>
      <c r="B93" s="15"/>
      <c r="C93" s="15"/>
      <c r="D93" s="16"/>
      <c r="E93" s="15"/>
      <c r="F93" s="15"/>
      <c r="G93" s="15"/>
      <c r="H93" s="15"/>
    </row>
    <row r="94" spans="1:8" x14ac:dyDescent="0.25">
      <c r="A94" s="14"/>
      <c r="B94" s="15"/>
      <c r="C94" s="15"/>
      <c r="D94" s="16"/>
      <c r="E94" s="15"/>
      <c r="F94" s="15"/>
      <c r="G94" s="15"/>
      <c r="H94" s="15"/>
    </row>
    <row r="95" spans="1:8" x14ac:dyDescent="0.25">
      <c r="A95" s="14"/>
      <c r="B95" s="15"/>
      <c r="C95" s="15"/>
      <c r="D95" s="16"/>
      <c r="E95" s="15"/>
      <c r="F95" s="15"/>
      <c r="G95" s="15"/>
      <c r="H95" s="15"/>
    </row>
    <row r="96" spans="1:8" x14ac:dyDescent="0.25">
      <c r="A96" s="14"/>
      <c r="B96" s="15"/>
      <c r="C96" s="15"/>
      <c r="D96" s="16"/>
      <c r="E96" s="15"/>
      <c r="F96" s="15"/>
      <c r="G96" s="15"/>
      <c r="H96" s="15"/>
    </row>
    <row r="97" spans="1:8" x14ac:dyDescent="0.25">
      <c r="A97" s="14"/>
      <c r="B97" s="15"/>
      <c r="C97" s="15"/>
      <c r="D97" s="16"/>
      <c r="E97" s="15"/>
      <c r="F97" s="15"/>
      <c r="G97" s="15"/>
      <c r="H97" s="15"/>
    </row>
    <row r="98" spans="1:8" x14ac:dyDescent="0.25">
      <c r="A98" s="14"/>
      <c r="B98" s="15"/>
      <c r="C98" s="15"/>
      <c r="D98" s="16"/>
      <c r="E98" s="15"/>
      <c r="F98" s="15"/>
      <c r="G98" s="15"/>
      <c r="H98" s="15"/>
    </row>
    <row r="99" spans="1:8" x14ac:dyDescent="0.25">
      <c r="A99" s="14"/>
      <c r="B99" s="15"/>
      <c r="C99" s="15"/>
      <c r="D99" s="16"/>
      <c r="E99" s="15"/>
      <c r="F99" s="15"/>
      <c r="G99" s="15"/>
      <c r="H99" s="15"/>
    </row>
    <row r="100" spans="1:8" x14ac:dyDescent="0.25">
      <c r="A100" s="14"/>
      <c r="B100" s="15"/>
      <c r="C100" s="15"/>
      <c r="D100" s="16"/>
      <c r="E100" s="15"/>
      <c r="F100" s="15"/>
      <c r="G100" s="15"/>
      <c r="H100" s="15"/>
    </row>
    <row r="101" spans="1:8" x14ac:dyDescent="0.25">
      <c r="A101" s="14"/>
      <c r="B101" s="15"/>
      <c r="C101" s="15"/>
      <c r="D101" s="16"/>
      <c r="E101" s="15"/>
      <c r="F101" s="15"/>
      <c r="G101" s="15"/>
      <c r="H101" s="15"/>
    </row>
    <row r="102" spans="1:8" x14ac:dyDescent="0.25">
      <c r="A102" s="14"/>
      <c r="B102" s="15"/>
      <c r="C102" s="15"/>
      <c r="D102" s="16"/>
      <c r="E102" s="15"/>
      <c r="F102" s="15"/>
      <c r="G102" s="15"/>
      <c r="H102" s="15"/>
    </row>
    <row r="103" spans="1:8" x14ac:dyDescent="0.25">
      <c r="A103" s="14"/>
      <c r="B103" s="15"/>
      <c r="C103" s="15"/>
      <c r="D103" s="16"/>
      <c r="E103" s="15"/>
      <c r="F103" s="15"/>
      <c r="G103" s="15"/>
      <c r="H103" s="15"/>
    </row>
    <row r="104" spans="1:8" x14ac:dyDescent="0.25">
      <c r="A104" s="14"/>
      <c r="B104" s="15"/>
      <c r="C104" s="15"/>
      <c r="D104" s="16"/>
      <c r="E104" s="15"/>
      <c r="F104" s="15"/>
      <c r="G104" s="15"/>
      <c r="H104" s="15"/>
    </row>
    <row r="105" spans="1:8" x14ac:dyDescent="0.25">
      <c r="A105" s="14"/>
      <c r="B105" s="15"/>
      <c r="C105" s="15"/>
      <c r="D105" s="16"/>
      <c r="E105" s="15"/>
      <c r="F105" s="15"/>
      <c r="G105" s="15"/>
      <c r="H105" s="15"/>
    </row>
  </sheetData>
  <autoFilter ref="A5:H105"/>
  <mergeCells count="2">
    <mergeCell ref="A1:H1"/>
    <mergeCell ref="C2:H4"/>
  </mergeCells>
  <dataValidations count="6">
    <dataValidation type="list" allowBlank="1" sqref="E10:E105">
      <formula1>'Lists'!$A$2:$A$3</formula1>
    </dataValidation>
    <dataValidation type="list" allowBlank="1" sqref="E6:E105">
      <formula1>'Lists'!$A$2:$A$3</formula1>
    </dataValidation>
    <dataValidation type="list" allowBlank="1" sqref="F10:F105">
      <formula1>'Lists'!$B$2:$B$7</formula1>
    </dataValidation>
    <dataValidation type="list" allowBlank="1" sqref="F6:F105">
      <formula1>'Lists'!$B$2:$B$7</formula1>
    </dataValidation>
    <dataValidation type="list" allowBlank="1" sqref="G10:G105">
      <formula1>'Lists'!$C$2:$C$3</formula1>
    </dataValidation>
    <dataValidation type="list" allowBlank="1" sqref="G6:G105">
      <formula1>'Lists'!$C$2:$C$3</formula1>
    </dataValidation>
  </dataValidations>
  <pageSetup orientation="landscape" fitToWidth="1" fitToHeight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O105"/>
  <sheetViews>
    <sheetView workbookViewId="0" showGridLines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1" width="15" customWidth="1"/>
    <col min="2" max="2" width="17" customWidth="1"/>
    <col min="3" max="3" width="29" customWidth="1"/>
    <col min="4" max="4" width="16" customWidth="1"/>
    <col min="5" max="5" width="14" customWidth="1"/>
    <col min="6" max="6" width="23" customWidth="1"/>
    <col min="7" max="7" width="17" customWidth="1"/>
    <col min="8" max="8" width="28" customWidth="1"/>
    <col min="9" max="9" width="16" customWidth="1"/>
    <col min="10" max="10" width="17" customWidth="1"/>
  </cols>
  <sheetData>
    <row r="1" ht="30" customHeight="1" spans="1:15" x14ac:dyDescent="0.25">
      <c r="A1" s="1" t="s">
        <v>68</v>
      </c>
      <c r="B1" s="1"/>
      <c r="C1" s="1"/>
      <c r="D1" s="1"/>
      <c r="E1" s="1"/>
      <c r="F1" s="1"/>
      <c r="G1" s="1"/>
      <c r="H1" s="1"/>
      <c r="I1" s="1"/>
      <c r="J1" s="1"/>
    </row>
    <row r="2" spans="1:15" x14ac:dyDescent="0.25">
      <c r="A2" s="1"/>
      <c r="B2" s="1"/>
      <c r="C2" s="1"/>
      <c r="D2" s="1"/>
      <c r="E2" s="1"/>
      <c r="F2" s="1"/>
      <c r="G2" s="1"/>
      <c r="H2" s="1"/>
      <c r="I2" s="1"/>
      <c r="J2" s="1"/>
    </row>
    <row r="3" spans="1:15" x14ac:dyDescent="0.25"/>
    <row r="4" spans="1:15" x14ac:dyDescent="0.25">
      <c r="A4" s="17" t="s">
        <v>69</v>
      </c>
      <c r="B4" s="17"/>
      <c r="C4" s="17"/>
      <c r="D4" s="17"/>
      <c r="E4" s="17"/>
      <c r="F4" s="17"/>
      <c r="G4" s="17"/>
      <c r="H4" s="17"/>
      <c r="I4" s="17"/>
      <c r="J4" s="17"/>
    </row>
    <row r="5" ht="40" customHeight="1" spans="1:15" x14ac:dyDescent="0.25">
      <c r="A5" s="12" t="s">
        <v>31</v>
      </c>
      <c r="B5" s="12" t="s">
        <v>32</v>
      </c>
      <c r="C5" s="12" t="s">
        <v>33</v>
      </c>
      <c r="D5" s="13" t="s">
        <v>34</v>
      </c>
      <c r="E5" s="12" t="s">
        <v>35</v>
      </c>
      <c r="F5" s="12" t="s">
        <v>36</v>
      </c>
      <c r="G5" s="12" t="s">
        <v>37</v>
      </c>
      <c r="H5" s="12" t="s">
        <v>38</v>
      </c>
      <c r="I5" s="12" t="s">
        <v>70</v>
      </c>
      <c r="J5" s="12" t="s">
        <v>71</v>
      </c>
    </row>
    <row r="6" spans="1:15" x14ac:dyDescent="0.25">
      <c r="A6" s="18">
        <f>IF('Start Here'!$B$8="Paste Import",'Paste Import'!A6,'Manual Input'!A6)</f>
        <v>46203</v>
      </c>
      <c r="B6" s="19" t="str">
        <f>IF('Start Here'!$B$8="Paste Import",'Paste Import'!B6,'Manual Input'!B6)</f>
        <v>CHK-1042</v>
      </c>
      <c r="C6" s="19" t="str">
        <f>IF('Start Here'!$B$8="Paste Import",'Paste Import'!C6,'Manual Input'!C6)</f>
        <v>Vendor payment</v>
      </c>
      <c r="D6" s="20">
        <f>IF('Start Here'!$B$8="Paste Import",'Paste Import'!D6,'Manual Input'!D6)</f>
        <v>2500</v>
      </c>
      <c r="E6" s="19" t="str">
        <f>IF('Start Here'!$B$8="Paste Import",'Paste Import'!E6,'Manual Input'!E6)</f>
        <v>Books</v>
      </c>
      <c r="F6" s="19" t="str">
        <f>IF('Start Here'!$B$8="Paste Import",'Paste Import'!F6,'Manual Input'!F6)</f>
        <v>Outstanding Check</v>
      </c>
      <c r="G6" s="19" t="str">
        <f>IF('Start Here'!$B$8="Paste Import",'Paste Import'!G6,'Manual Input'!G6)</f>
        <v>Open</v>
      </c>
      <c r="H6" s="19" t="str">
        <f>IF('Start Here'!$B$8="Paste Import",'Paste Import'!H6,'Manual Input'!H6)</f>
        <v>Clears next period</v>
      </c>
      <c r="I6" s="19" t="str">
        <f>IF(B6="","",IF(COUNTIF($B$6:$B$105,B6)&gt;1,"Duplicate",""))</f>
        <v/>
      </c>
      <c r="J6" s="21" t="str">
        <f>IF(COUNTA(A6:H6)=0,"",IF(OR(A6="",D6="",E6="",F6=""),"Incomplete",IF(F6="Unresolved","Review","OK")))</f>
        <v>OK</v>
      </c>
    </row>
    <row r="7" spans="1:15" x14ac:dyDescent="0.25">
      <c r="A7" s="18">
        <f>IF('Start Here'!$B$8="Paste Import",'Paste Import'!A7,'Manual Input'!A7)</f>
        <v>46203</v>
      </c>
      <c r="B7" s="19" t="str">
        <f>IF('Start Here'!$B$8="Paste Import",'Paste Import'!B7,'Manual Input'!B7)</f>
        <v>DEP-0630</v>
      </c>
      <c r="C7" s="19" t="str">
        <f>IF('Start Here'!$B$8="Paste Import",'Paste Import'!C7,'Manual Input'!C7)</f>
        <v>Month-end customer deposit</v>
      </c>
      <c r="D7" s="20">
        <f>IF('Start Here'!$B$8="Paste Import",'Paste Import'!D7,'Manual Input'!D7)</f>
        <v>3000</v>
      </c>
      <c r="E7" s="19" t="str">
        <f>IF('Start Here'!$B$8="Paste Import",'Paste Import'!E7,'Manual Input'!E7)</f>
        <v>Books</v>
      </c>
      <c r="F7" s="19" t="str">
        <f>IF('Start Here'!$B$8="Paste Import",'Paste Import'!F7,'Manual Input'!F7)</f>
        <v>Deposit in Transit</v>
      </c>
      <c r="G7" s="19" t="str">
        <f>IF('Start Here'!$B$8="Paste Import",'Paste Import'!G7,'Manual Input'!G7)</f>
        <v>Open</v>
      </c>
      <c r="H7" s="19" t="str">
        <f>IF('Start Here'!$B$8="Paste Import",'Paste Import'!H7,'Manual Input'!H7)</f>
        <v>Deposited at month-end</v>
      </c>
      <c r="I7" s="19" t="str">
        <f>IF(B7="","",IF(COUNTIF($B$6:$B$105,B7)&gt;1,"Duplicate",""))</f>
        <v/>
      </c>
      <c r="J7" s="21" t="str">
        <f>IF(COUNTA(A7:H7)=0,"",IF(OR(A7="",D7="",E7="",F7=""),"Incomplete",IF(F7="Unresolved","Review","OK")))</f>
        <v>OK</v>
      </c>
    </row>
    <row r="8" spans="1:15" x14ac:dyDescent="0.25">
      <c r="A8" s="18">
        <f>IF('Start Here'!$B$8="Paste Import",'Paste Import'!A8,'Manual Input'!A8)</f>
        <v>46203</v>
      </c>
      <c r="B8" s="19" t="str">
        <f>IF('Start Here'!$B$8="Paste Import",'Paste Import'!B8,'Manual Input'!B8)</f>
        <v>FEE-0630</v>
      </c>
      <c r="C8" s="19" t="str">
        <f>IF('Start Here'!$B$8="Paste Import",'Paste Import'!C8,'Manual Input'!C8)</f>
        <v>Bank service fee</v>
      </c>
      <c r="D8" s="20">
        <f>IF('Start Here'!$B$8="Paste Import",'Paste Import'!D8,'Manual Input'!D8)</f>
        <v>-50</v>
      </c>
      <c r="E8" s="19" t="str">
        <f>IF('Start Here'!$B$8="Paste Import",'Paste Import'!E8,'Manual Input'!E8)</f>
        <v>Bank</v>
      </c>
      <c r="F8" s="19" t="str">
        <f>IF('Start Here'!$B$8="Paste Import",'Paste Import'!F8,'Manual Input'!F8)</f>
        <v>Bank Adjustment</v>
      </c>
      <c r="G8" s="19" t="str">
        <f>IF('Start Here'!$B$8="Paste Import",'Paste Import'!G8,'Manual Input'!G8)</f>
        <v>Cleared</v>
      </c>
      <c r="H8" s="19" t="str">
        <f>IF('Start Here'!$B$8="Paste Import",'Paste Import'!H8,'Manual Input'!H8)</f>
        <v>Post fee to the ledger</v>
      </c>
      <c r="I8" s="19" t="str">
        <f>IF(B8="","",IF(COUNTIF($B$6:$B$105,B8)&gt;1,"Duplicate",""))</f>
        <v/>
      </c>
      <c r="J8" s="21" t="str">
        <f>IF(COUNTA(A8:H8)=0,"",IF(OR(A8="",D8="",E8="",F8=""),"Incomplete",IF(F8="Unresolved","Review","OK")))</f>
        <v>OK</v>
      </c>
    </row>
    <row r="9" spans="1:15" x14ac:dyDescent="0.25">
      <c r="A9" s="18">
        <f>IF('Start Here'!$B$8="Paste Import",'Paste Import'!A9,'Manual Input'!A9)</f>
        <v>46203</v>
      </c>
      <c r="B9" s="19" t="str">
        <f>IF('Start Here'!$B$8="Paste Import",'Paste Import'!B9,'Manual Input'!B9)</f>
        <v>JE-0630</v>
      </c>
      <c r="C9" s="19" t="str">
        <f>IF('Start Here'!$B$8="Paste Import",'Paste Import'!C9,'Manual Input'!C9)</f>
        <v>Book-side correction</v>
      </c>
      <c r="D9" s="20">
        <f>IF('Start Here'!$B$8="Paste Import",'Paste Import'!D9,'Manual Input'!D9)</f>
        <v>1650</v>
      </c>
      <c r="E9" s="19" t="str">
        <f>IF('Start Here'!$B$8="Paste Import",'Paste Import'!E9,'Manual Input'!E9)</f>
        <v>Books</v>
      </c>
      <c r="F9" s="19" t="str">
        <f>IF('Start Here'!$B$8="Paste Import",'Paste Import'!F9,'Manual Input'!F9)</f>
        <v>Book Adjustment</v>
      </c>
      <c r="G9" s="19" t="str">
        <f>IF('Start Here'!$B$8="Paste Import",'Paste Import'!G9,'Manual Input'!G9)</f>
        <v>Cleared</v>
      </c>
      <c r="H9" s="19" t="str">
        <f>IF('Start Here'!$B$8="Paste Import",'Paste Import'!H9,'Manual Input'!H9)</f>
        <v>Approved adjustment</v>
      </c>
      <c r="I9" s="19" t="str">
        <f>IF(B9="","",IF(COUNTIF($B$6:$B$105,B9)&gt;1,"Duplicate",""))</f>
        <v/>
      </c>
      <c r="J9" s="21" t="str">
        <f>IF(COUNTA(A9:H9)=0,"",IF(OR(A9="",D9="",E9="",F9=""),"Incomplete",IF(F9="Unresolved","Review","OK")))</f>
        <v>OK</v>
      </c>
    </row>
    <row r="10" spans="1:15" x14ac:dyDescent="0.25">
      <c r="A10" s="18">
        <f>IF('Start Here'!$B$8="Paste Import",'Paste Import'!A10,'Manual Input'!A10)</f>
        <v>46203</v>
      </c>
      <c r="B10" s="19" t="str">
        <f>IF('Start Here'!$B$8="Paste Import",'Paste Import'!B10,'Manual Input'!B10)</f>
        <v>UNR-0630</v>
      </c>
      <c r="C10" s="19" t="str">
        <f>IF('Start Here'!$B$8="Paste Import",'Paste Import'!C10,'Manual Input'!C10)</f>
        <v>Unidentified bank debit</v>
      </c>
      <c r="D10" s="20">
        <f>IF('Start Here'!$B$8="Paste Import",'Paste Import'!D10,'Manual Input'!D10)</f>
        <v>75</v>
      </c>
      <c r="E10" s="19" t="str">
        <f>IF('Start Here'!$B$8="Paste Import",'Paste Import'!E10,'Manual Input'!E10)</f>
        <v>Bank</v>
      </c>
      <c r="F10" s="19" t="str">
        <f>IF('Start Here'!$B$8="Paste Import",'Paste Import'!F10,'Manual Input'!F10)</f>
        <v>Unresolved</v>
      </c>
      <c r="G10" s="19" t="str">
        <f>IF('Start Here'!$B$8="Paste Import",'Paste Import'!G10,'Manual Input'!G10)</f>
        <v>Open</v>
      </c>
      <c r="H10" s="19" t="str">
        <f>IF('Start Here'!$B$8="Paste Import",'Paste Import'!H10,'Manual Input'!H10)</f>
        <v>Research in progress</v>
      </c>
      <c r="I10" s="19" t="str">
        <f>IF(B10="","",IF(COUNTIF($B$6:$B$105,B10)&gt;1,"Duplicate",""))</f>
        <v/>
      </c>
      <c r="J10" s="22" t="str">
        <f>IF(COUNTA(A10:H10)=0,"",IF(OR(A10="",D10="",E10="",F10=""),"Incomplete",IF(F10="Unresolved","Review","OK")))</f>
        <v>Review</v>
      </c>
    </row>
    <row r="11" spans="1:15" x14ac:dyDescent="0.25">
      <c r="A11" s="18">
        <f>IF('Start Here'!$B$8="Paste Import",'Paste Import'!A11,'Manual Input'!A11)</f>
        <v>46203</v>
      </c>
      <c r="B11" s="19" t="str">
        <f>IF('Start Here'!$B$8="Paste Import",'Paste Import'!B11,'Manual Input'!B11)</f>
        <v>CLR-0021</v>
      </c>
      <c r="C11" s="19" t="str">
        <f>IF('Start Here'!$B$8="Paste Import",'Paste Import'!C11,'Manual Input'!C11)</f>
        <v>Cleared transfer — bank</v>
      </c>
      <c r="D11" s="20">
        <f>IF('Start Here'!$B$8="Paste Import",'Paste Import'!D11,'Manual Input'!D11)</f>
        <v>100</v>
      </c>
      <c r="E11" s="19" t="str">
        <f>IF('Start Here'!$B$8="Paste Import",'Paste Import'!E11,'Manual Input'!E11)</f>
        <v>Bank</v>
      </c>
      <c r="F11" s="19" t="str">
        <f>IF('Start Here'!$B$8="Paste Import",'Paste Import'!F11,'Manual Input'!F11)</f>
        <v>Cleared</v>
      </c>
      <c r="G11" s="19" t="str">
        <f>IF('Start Here'!$B$8="Paste Import",'Paste Import'!G11,'Manual Input'!G11)</f>
        <v>Cleared</v>
      </c>
      <c r="H11" s="19" t="str">
        <f>IF('Start Here'!$B$8="Paste Import",'Paste Import'!H11,'Manual Input'!H11)</f>
        <v>Matched item</v>
      </c>
      <c r="I11" s="23" t="str">
        <f>IF(B11="","",IF(COUNTIF($B$6:$B$105,B11)&gt;1,"Duplicate",""))</f>
        <v>Duplicate</v>
      </c>
      <c r="J11" s="21" t="str">
        <f>IF(COUNTA(A11:H11)=0,"",IF(OR(A11="",D11="",E11="",F11=""),"Incomplete",IF(F11="Unresolved","Review","OK")))</f>
        <v>OK</v>
      </c>
    </row>
    <row r="12" spans="1:15" x14ac:dyDescent="0.25">
      <c r="A12" s="18">
        <f>IF('Start Here'!$B$8="Paste Import",'Paste Import'!A12,'Manual Input'!A12)</f>
        <v>46203</v>
      </c>
      <c r="B12" s="19" t="str">
        <f>IF('Start Here'!$B$8="Paste Import",'Paste Import'!B12,'Manual Input'!B12)</f>
        <v>CLR-0021</v>
      </c>
      <c r="C12" s="19" t="str">
        <f>IF('Start Here'!$B$8="Paste Import",'Paste Import'!C12,'Manual Input'!C12)</f>
        <v>Cleared transfer — books</v>
      </c>
      <c r="D12" s="20">
        <f>IF('Start Here'!$B$8="Paste Import",'Paste Import'!D12,'Manual Input'!D12)</f>
        <v>-100</v>
      </c>
      <c r="E12" s="19" t="str">
        <f>IF('Start Here'!$B$8="Paste Import",'Paste Import'!E12,'Manual Input'!E12)</f>
        <v>Books</v>
      </c>
      <c r="F12" s="19" t="str">
        <f>IF('Start Here'!$B$8="Paste Import",'Paste Import'!F12,'Manual Input'!F12)</f>
        <v>Cleared</v>
      </c>
      <c r="G12" s="19" t="str">
        <f>IF('Start Here'!$B$8="Paste Import",'Paste Import'!G12,'Manual Input'!G12)</f>
        <v>Cleared</v>
      </c>
      <c r="H12" s="19" t="str">
        <f>IF('Start Here'!$B$8="Paste Import",'Paste Import'!H12,'Manual Input'!H12)</f>
        <v>Matched item</v>
      </c>
      <c r="I12" s="23" t="str">
        <f>IF(B12="","",IF(COUNTIF($B$6:$B$105,B12)&gt;1,"Duplicate",""))</f>
        <v>Duplicate</v>
      </c>
      <c r="J12" s="21" t="str">
        <f>IF(COUNTA(A12:H12)=0,"",IF(OR(A12="",D12="",E12="",F12=""),"Incomplete",IF(F12="Unresolved","Review","OK")))</f>
        <v>OK</v>
      </c>
    </row>
    <row r="13" spans="1:15" x14ac:dyDescent="0.25">
      <c r="A13" s="18" t="str">
        <f>IF('Start Here'!$B$8="Paste Import",'Paste Import'!A13,'Manual Input'!A13)</f>
        <v/>
      </c>
      <c r="B13" s="19" t="str">
        <f>IF('Start Here'!$B$8="Paste Import",'Paste Import'!B13,'Manual Input'!B13)</f>
        <v/>
      </c>
      <c r="C13" s="19" t="str">
        <f>IF('Start Here'!$B$8="Paste Import",'Paste Import'!C13,'Manual Input'!C13)</f>
        <v/>
      </c>
      <c r="D13" s="20" t="str">
        <f>IF('Start Here'!$B$8="Paste Import",'Paste Import'!D13,'Manual Input'!D13)</f>
        <v/>
      </c>
      <c r="E13" s="19" t="str">
        <f>IF('Start Here'!$B$8="Paste Import",'Paste Import'!E13,'Manual Input'!E13)</f>
        <v/>
      </c>
      <c r="F13" s="19" t="str">
        <f>IF('Start Here'!$B$8="Paste Import",'Paste Import'!F13,'Manual Input'!F13)</f>
        <v/>
      </c>
      <c r="G13" s="19" t="str">
        <f>IF('Start Here'!$B$8="Paste Import",'Paste Import'!G13,'Manual Input'!G13)</f>
        <v/>
      </c>
      <c r="H13" s="19" t="str">
        <f>IF('Start Here'!$B$8="Paste Import",'Paste Import'!H13,'Manual Input'!H13)</f>
        <v/>
      </c>
      <c r="I13" s="19" t="str">
        <f>IF(B13="","",IF(COUNTIF($B$6:$B$105,B13)&gt;1,"Duplicate",""))</f>
        <v/>
      </c>
      <c r="J13" s="19" t="str">
        <f>IF(COUNTA(A13:H13)=0,"",IF(OR(A13="",D13="",E13="",F13=""),"Incomplete",IF(F13="Unresolved","Review","OK")))</f>
        <v/>
      </c>
    </row>
    <row r="14" spans="1:15" x14ac:dyDescent="0.25">
      <c r="A14" s="18" t="str">
        <f>IF('Start Here'!$B$8="Paste Import",'Paste Import'!A14,'Manual Input'!A14)</f>
        <v/>
      </c>
      <c r="B14" s="19" t="str">
        <f>IF('Start Here'!$B$8="Paste Import",'Paste Import'!B14,'Manual Input'!B14)</f>
        <v/>
      </c>
      <c r="C14" s="19" t="str">
        <f>IF('Start Here'!$B$8="Paste Import",'Paste Import'!C14,'Manual Input'!C14)</f>
        <v/>
      </c>
      <c r="D14" s="20" t="str">
        <f>IF('Start Here'!$B$8="Paste Import",'Paste Import'!D14,'Manual Input'!D14)</f>
        <v/>
      </c>
      <c r="E14" s="19" t="str">
        <f>IF('Start Here'!$B$8="Paste Import",'Paste Import'!E14,'Manual Input'!E14)</f>
        <v/>
      </c>
      <c r="F14" s="19" t="str">
        <f>IF('Start Here'!$B$8="Paste Import",'Paste Import'!F14,'Manual Input'!F14)</f>
        <v/>
      </c>
      <c r="G14" s="19" t="str">
        <f>IF('Start Here'!$B$8="Paste Import",'Paste Import'!G14,'Manual Input'!G14)</f>
        <v/>
      </c>
      <c r="H14" s="19" t="str">
        <f>IF('Start Here'!$B$8="Paste Import",'Paste Import'!H14,'Manual Input'!H14)</f>
        <v/>
      </c>
      <c r="I14" s="19" t="str">
        <f>IF(B14="","",IF(COUNTIF($B$6:$B$105,B14)&gt;1,"Duplicate",""))</f>
        <v/>
      </c>
      <c r="J14" s="19" t="str">
        <f>IF(COUNTA(A14:H14)=0,"",IF(OR(A14="",D14="",E14="",F14=""),"Incomplete",IF(F14="Unresolved","Review","OK")))</f>
        <v/>
      </c>
    </row>
    <row r="15" spans="1:15" x14ac:dyDescent="0.25">
      <c r="A15" s="18" t="str">
        <f>IF('Start Here'!$B$8="Paste Import",'Paste Import'!A15,'Manual Input'!A15)</f>
        <v/>
      </c>
      <c r="B15" s="19" t="str">
        <f>IF('Start Here'!$B$8="Paste Import",'Paste Import'!B15,'Manual Input'!B15)</f>
        <v/>
      </c>
      <c r="C15" s="19" t="str">
        <f>IF('Start Here'!$B$8="Paste Import",'Paste Import'!C15,'Manual Input'!C15)</f>
        <v/>
      </c>
      <c r="D15" s="20" t="str">
        <f>IF('Start Here'!$B$8="Paste Import",'Paste Import'!D15,'Manual Input'!D15)</f>
        <v/>
      </c>
      <c r="E15" s="19" t="str">
        <f>IF('Start Here'!$B$8="Paste Import",'Paste Import'!E15,'Manual Input'!E15)</f>
        <v/>
      </c>
      <c r="F15" s="19" t="str">
        <f>IF('Start Here'!$B$8="Paste Import",'Paste Import'!F15,'Manual Input'!F15)</f>
        <v/>
      </c>
      <c r="G15" s="19" t="str">
        <f>IF('Start Here'!$B$8="Paste Import",'Paste Import'!G15,'Manual Input'!G15)</f>
        <v/>
      </c>
      <c r="H15" s="19" t="str">
        <f>IF('Start Here'!$B$8="Paste Import",'Paste Import'!H15,'Manual Input'!H15)</f>
        <v/>
      </c>
      <c r="I15" s="19" t="str">
        <f>IF(B15="","",IF(COUNTIF($B$6:$B$105,B15)&gt;1,"Duplicate",""))</f>
        <v/>
      </c>
      <c r="J15" s="19" t="str">
        <f>IF(COUNTA(A15:H15)=0,"",IF(OR(A15="",D15="",E15="",F15=""),"Incomplete",IF(F15="Unresolved","Review","OK")))</f>
        <v/>
      </c>
    </row>
    <row r="16" spans="1:15" x14ac:dyDescent="0.25">
      <c r="A16" s="18" t="str">
        <f>IF('Start Here'!$B$8="Paste Import",'Paste Import'!A16,'Manual Input'!A16)</f>
        <v/>
      </c>
      <c r="B16" s="19" t="str">
        <f>IF('Start Here'!$B$8="Paste Import",'Paste Import'!B16,'Manual Input'!B16)</f>
        <v/>
      </c>
      <c r="C16" s="19" t="str">
        <f>IF('Start Here'!$B$8="Paste Import",'Paste Import'!C16,'Manual Input'!C16)</f>
        <v/>
      </c>
      <c r="D16" s="20" t="str">
        <f>IF('Start Here'!$B$8="Paste Import",'Paste Import'!D16,'Manual Input'!D16)</f>
        <v/>
      </c>
      <c r="E16" s="19" t="str">
        <f>IF('Start Here'!$B$8="Paste Import",'Paste Import'!E16,'Manual Input'!E16)</f>
        <v/>
      </c>
      <c r="F16" s="19" t="str">
        <f>IF('Start Here'!$B$8="Paste Import",'Paste Import'!F16,'Manual Input'!F16)</f>
        <v/>
      </c>
      <c r="G16" s="19" t="str">
        <f>IF('Start Here'!$B$8="Paste Import",'Paste Import'!G16,'Manual Input'!G16)</f>
        <v/>
      </c>
      <c r="H16" s="19" t="str">
        <f>IF('Start Here'!$B$8="Paste Import",'Paste Import'!H16,'Manual Input'!H16)</f>
        <v/>
      </c>
      <c r="I16" s="19" t="str">
        <f>IF(B16="","",IF(COUNTIF($B$6:$B$105,B16)&gt;1,"Duplicate",""))</f>
        <v/>
      </c>
      <c r="J16" s="19" t="str">
        <f>IF(COUNTA(A16:H16)=0,"",IF(OR(A16="",D16="",E16="",F16=""),"Incomplete",IF(F16="Unresolved","Review","OK")))</f>
        <v/>
      </c>
    </row>
    <row r="17" spans="1:15" x14ac:dyDescent="0.25">
      <c r="A17" s="18" t="str">
        <f>IF('Start Here'!$B$8="Paste Import",'Paste Import'!A17,'Manual Input'!A17)</f>
        <v/>
      </c>
      <c r="B17" s="19" t="str">
        <f>IF('Start Here'!$B$8="Paste Import",'Paste Import'!B17,'Manual Input'!B17)</f>
        <v/>
      </c>
      <c r="C17" s="19" t="str">
        <f>IF('Start Here'!$B$8="Paste Import",'Paste Import'!C17,'Manual Input'!C17)</f>
        <v/>
      </c>
      <c r="D17" s="20" t="str">
        <f>IF('Start Here'!$B$8="Paste Import",'Paste Import'!D17,'Manual Input'!D17)</f>
        <v/>
      </c>
      <c r="E17" s="19" t="str">
        <f>IF('Start Here'!$B$8="Paste Import",'Paste Import'!E17,'Manual Input'!E17)</f>
        <v/>
      </c>
      <c r="F17" s="19" t="str">
        <f>IF('Start Here'!$B$8="Paste Import",'Paste Import'!F17,'Manual Input'!F17)</f>
        <v/>
      </c>
      <c r="G17" s="19" t="str">
        <f>IF('Start Here'!$B$8="Paste Import",'Paste Import'!G17,'Manual Input'!G17)</f>
        <v/>
      </c>
      <c r="H17" s="19" t="str">
        <f>IF('Start Here'!$B$8="Paste Import",'Paste Import'!H17,'Manual Input'!H17)</f>
        <v/>
      </c>
      <c r="I17" s="19" t="str">
        <f>IF(B17="","",IF(COUNTIF($B$6:$B$105,B17)&gt;1,"Duplicate",""))</f>
        <v/>
      </c>
      <c r="J17" s="19" t="str">
        <f>IF(COUNTA(A17:H17)=0,"",IF(OR(A17="",D17="",E17="",F17=""),"Incomplete",IF(F17="Unresolved","Review","OK")))</f>
        <v/>
      </c>
    </row>
    <row r="18" spans="1:15" x14ac:dyDescent="0.25">
      <c r="A18" s="18" t="str">
        <f>IF('Start Here'!$B$8="Paste Import",'Paste Import'!A18,'Manual Input'!A18)</f>
        <v/>
      </c>
      <c r="B18" s="19" t="str">
        <f>IF('Start Here'!$B$8="Paste Import",'Paste Import'!B18,'Manual Input'!B18)</f>
        <v/>
      </c>
      <c r="C18" s="19" t="str">
        <f>IF('Start Here'!$B$8="Paste Import",'Paste Import'!C18,'Manual Input'!C18)</f>
        <v/>
      </c>
      <c r="D18" s="20" t="str">
        <f>IF('Start Here'!$B$8="Paste Import",'Paste Import'!D18,'Manual Input'!D18)</f>
        <v/>
      </c>
      <c r="E18" s="19" t="str">
        <f>IF('Start Here'!$B$8="Paste Import",'Paste Import'!E18,'Manual Input'!E18)</f>
        <v/>
      </c>
      <c r="F18" s="19" t="str">
        <f>IF('Start Here'!$B$8="Paste Import",'Paste Import'!F18,'Manual Input'!F18)</f>
        <v/>
      </c>
      <c r="G18" s="19" t="str">
        <f>IF('Start Here'!$B$8="Paste Import",'Paste Import'!G18,'Manual Input'!G18)</f>
        <v/>
      </c>
      <c r="H18" s="19" t="str">
        <f>IF('Start Here'!$B$8="Paste Import",'Paste Import'!H18,'Manual Input'!H18)</f>
        <v/>
      </c>
      <c r="I18" s="19" t="str">
        <f>IF(B18="","",IF(COUNTIF($B$6:$B$105,B18)&gt;1,"Duplicate",""))</f>
        <v/>
      </c>
      <c r="J18" s="19" t="str">
        <f>IF(COUNTA(A18:H18)=0,"",IF(OR(A18="",D18="",E18="",F18=""),"Incomplete",IF(F18="Unresolved","Review","OK")))</f>
        <v/>
      </c>
    </row>
    <row r="19" spans="1:15" x14ac:dyDescent="0.25">
      <c r="A19" s="18" t="str">
        <f>IF('Start Here'!$B$8="Paste Import",'Paste Import'!A19,'Manual Input'!A19)</f>
        <v/>
      </c>
      <c r="B19" s="19" t="str">
        <f>IF('Start Here'!$B$8="Paste Import",'Paste Import'!B19,'Manual Input'!B19)</f>
        <v/>
      </c>
      <c r="C19" s="19" t="str">
        <f>IF('Start Here'!$B$8="Paste Import",'Paste Import'!C19,'Manual Input'!C19)</f>
        <v/>
      </c>
      <c r="D19" s="20" t="str">
        <f>IF('Start Here'!$B$8="Paste Import",'Paste Import'!D19,'Manual Input'!D19)</f>
        <v/>
      </c>
      <c r="E19" s="19" t="str">
        <f>IF('Start Here'!$B$8="Paste Import",'Paste Import'!E19,'Manual Input'!E19)</f>
        <v/>
      </c>
      <c r="F19" s="19" t="str">
        <f>IF('Start Here'!$B$8="Paste Import",'Paste Import'!F19,'Manual Input'!F19)</f>
        <v/>
      </c>
      <c r="G19" s="19" t="str">
        <f>IF('Start Here'!$B$8="Paste Import",'Paste Import'!G19,'Manual Input'!G19)</f>
        <v/>
      </c>
      <c r="H19" s="19" t="str">
        <f>IF('Start Here'!$B$8="Paste Import",'Paste Import'!H19,'Manual Input'!H19)</f>
        <v/>
      </c>
      <c r="I19" s="19" t="str">
        <f>IF(B19="","",IF(COUNTIF($B$6:$B$105,B19)&gt;1,"Duplicate",""))</f>
        <v/>
      </c>
      <c r="J19" s="19" t="str">
        <f>IF(COUNTA(A19:H19)=0,"",IF(OR(A19="",D19="",E19="",F19=""),"Incomplete",IF(F19="Unresolved","Review","OK")))</f>
        <v/>
      </c>
    </row>
    <row r="20" spans="1:15" x14ac:dyDescent="0.25">
      <c r="A20" s="18" t="str">
        <f>IF('Start Here'!$B$8="Paste Import",'Paste Import'!A20,'Manual Input'!A20)</f>
        <v/>
      </c>
      <c r="B20" s="19" t="str">
        <f>IF('Start Here'!$B$8="Paste Import",'Paste Import'!B20,'Manual Input'!B20)</f>
        <v/>
      </c>
      <c r="C20" s="19" t="str">
        <f>IF('Start Here'!$B$8="Paste Import",'Paste Import'!C20,'Manual Input'!C20)</f>
        <v/>
      </c>
      <c r="D20" s="20" t="str">
        <f>IF('Start Here'!$B$8="Paste Import",'Paste Import'!D20,'Manual Input'!D20)</f>
        <v/>
      </c>
      <c r="E20" s="19" t="str">
        <f>IF('Start Here'!$B$8="Paste Import",'Paste Import'!E20,'Manual Input'!E20)</f>
        <v/>
      </c>
      <c r="F20" s="19" t="str">
        <f>IF('Start Here'!$B$8="Paste Import",'Paste Import'!F20,'Manual Input'!F20)</f>
        <v/>
      </c>
      <c r="G20" s="19" t="str">
        <f>IF('Start Here'!$B$8="Paste Import",'Paste Import'!G20,'Manual Input'!G20)</f>
        <v/>
      </c>
      <c r="H20" s="19" t="str">
        <f>IF('Start Here'!$B$8="Paste Import",'Paste Import'!H20,'Manual Input'!H20)</f>
        <v/>
      </c>
      <c r="I20" s="19" t="str">
        <f>IF(B20="","",IF(COUNTIF($B$6:$B$105,B20)&gt;1,"Duplicate",""))</f>
        <v/>
      </c>
      <c r="J20" s="19" t="str">
        <f>IF(COUNTA(A20:H20)=0,"",IF(OR(A20="",D20="",E20="",F20=""),"Incomplete",IF(F20="Unresolved","Review","OK")))</f>
        <v/>
      </c>
    </row>
    <row r="21" spans="1:15" x14ac:dyDescent="0.25">
      <c r="A21" s="18" t="str">
        <f>IF('Start Here'!$B$8="Paste Import",'Paste Import'!A21,'Manual Input'!A21)</f>
        <v/>
      </c>
      <c r="B21" s="19" t="str">
        <f>IF('Start Here'!$B$8="Paste Import",'Paste Import'!B21,'Manual Input'!B21)</f>
        <v/>
      </c>
      <c r="C21" s="19" t="str">
        <f>IF('Start Here'!$B$8="Paste Import",'Paste Import'!C21,'Manual Input'!C21)</f>
        <v/>
      </c>
      <c r="D21" s="20" t="str">
        <f>IF('Start Here'!$B$8="Paste Import",'Paste Import'!D21,'Manual Input'!D21)</f>
        <v/>
      </c>
      <c r="E21" s="19" t="str">
        <f>IF('Start Here'!$B$8="Paste Import",'Paste Import'!E21,'Manual Input'!E21)</f>
        <v/>
      </c>
      <c r="F21" s="19" t="str">
        <f>IF('Start Here'!$B$8="Paste Import",'Paste Import'!F21,'Manual Input'!F21)</f>
        <v/>
      </c>
      <c r="G21" s="19" t="str">
        <f>IF('Start Here'!$B$8="Paste Import",'Paste Import'!G21,'Manual Input'!G21)</f>
        <v/>
      </c>
      <c r="H21" s="19" t="str">
        <f>IF('Start Here'!$B$8="Paste Import",'Paste Import'!H21,'Manual Input'!H21)</f>
        <v/>
      </c>
      <c r="I21" s="19" t="str">
        <f>IF(B21="","",IF(COUNTIF($B$6:$B$105,B21)&gt;1,"Duplicate",""))</f>
        <v/>
      </c>
      <c r="J21" s="19" t="str">
        <f>IF(COUNTA(A21:H21)=0,"",IF(OR(A21="",D21="",E21="",F21=""),"Incomplete",IF(F21="Unresolved","Review","OK")))</f>
        <v/>
      </c>
    </row>
    <row r="22" spans="1:15" x14ac:dyDescent="0.25">
      <c r="A22" s="18" t="str">
        <f>IF('Start Here'!$B$8="Paste Import",'Paste Import'!A22,'Manual Input'!A22)</f>
        <v/>
      </c>
      <c r="B22" s="19" t="str">
        <f>IF('Start Here'!$B$8="Paste Import",'Paste Import'!B22,'Manual Input'!B22)</f>
        <v/>
      </c>
      <c r="C22" s="19" t="str">
        <f>IF('Start Here'!$B$8="Paste Import",'Paste Import'!C22,'Manual Input'!C22)</f>
        <v/>
      </c>
      <c r="D22" s="20" t="str">
        <f>IF('Start Here'!$B$8="Paste Import",'Paste Import'!D22,'Manual Input'!D22)</f>
        <v/>
      </c>
      <c r="E22" s="19" t="str">
        <f>IF('Start Here'!$B$8="Paste Import",'Paste Import'!E22,'Manual Input'!E22)</f>
        <v/>
      </c>
      <c r="F22" s="19" t="str">
        <f>IF('Start Here'!$B$8="Paste Import",'Paste Import'!F22,'Manual Input'!F22)</f>
        <v/>
      </c>
      <c r="G22" s="19" t="str">
        <f>IF('Start Here'!$B$8="Paste Import",'Paste Import'!G22,'Manual Input'!G22)</f>
        <v/>
      </c>
      <c r="H22" s="19" t="str">
        <f>IF('Start Here'!$B$8="Paste Import",'Paste Import'!H22,'Manual Input'!H22)</f>
        <v/>
      </c>
      <c r="I22" s="19" t="str">
        <f>IF(B22="","",IF(COUNTIF($B$6:$B$105,B22)&gt;1,"Duplicate",""))</f>
        <v/>
      </c>
      <c r="J22" s="19" t="str">
        <f>IF(COUNTA(A22:H22)=0,"",IF(OR(A22="",D22="",E22="",F22=""),"Incomplete",IF(F22="Unresolved","Review","OK")))</f>
        <v/>
      </c>
    </row>
    <row r="23" spans="1:15" x14ac:dyDescent="0.25">
      <c r="A23" s="18" t="str">
        <f>IF('Start Here'!$B$8="Paste Import",'Paste Import'!A23,'Manual Input'!A23)</f>
        <v/>
      </c>
      <c r="B23" s="19" t="str">
        <f>IF('Start Here'!$B$8="Paste Import",'Paste Import'!B23,'Manual Input'!B23)</f>
        <v/>
      </c>
      <c r="C23" s="19" t="str">
        <f>IF('Start Here'!$B$8="Paste Import",'Paste Import'!C23,'Manual Input'!C23)</f>
        <v/>
      </c>
      <c r="D23" s="20" t="str">
        <f>IF('Start Here'!$B$8="Paste Import",'Paste Import'!D23,'Manual Input'!D23)</f>
        <v/>
      </c>
      <c r="E23" s="19" t="str">
        <f>IF('Start Here'!$B$8="Paste Import",'Paste Import'!E23,'Manual Input'!E23)</f>
        <v/>
      </c>
      <c r="F23" s="19" t="str">
        <f>IF('Start Here'!$B$8="Paste Import",'Paste Import'!F23,'Manual Input'!F23)</f>
        <v/>
      </c>
      <c r="G23" s="19" t="str">
        <f>IF('Start Here'!$B$8="Paste Import",'Paste Import'!G23,'Manual Input'!G23)</f>
        <v/>
      </c>
      <c r="H23" s="19" t="str">
        <f>IF('Start Here'!$B$8="Paste Import",'Paste Import'!H23,'Manual Input'!H23)</f>
        <v/>
      </c>
      <c r="I23" s="19" t="str">
        <f>IF(B23="","",IF(COUNTIF($B$6:$B$105,B23)&gt;1,"Duplicate",""))</f>
        <v/>
      </c>
      <c r="J23" s="19" t="str">
        <f>IF(COUNTA(A23:H23)=0,"",IF(OR(A23="",D23="",E23="",F23=""),"Incomplete",IF(F23="Unresolved","Review","OK")))</f>
        <v/>
      </c>
    </row>
    <row r="24" spans="1:15" x14ac:dyDescent="0.25">
      <c r="A24" s="18" t="str">
        <f>IF('Start Here'!$B$8="Paste Import",'Paste Import'!A24,'Manual Input'!A24)</f>
        <v/>
      </c>
      <c r="B24" s="19" t="str">
        <f>IF('Start Here'!$B$8="Paste Import",'Paste Import'!B24,'Manual Input'!B24)</f>
        <v/>
      </c>
      <c r="C24" s="19" t="str">
        <f>IF('Start Here'!$B$8="Paste Import",'Paste Import'!C24,'Manual Input'!C24)</f>
        <v/>
      </c>
      <c r="D24" s="20" t="str">
        <f>IF('Start Here'!$B$8="Paste Import",'Paste Import'!D24,'Manual Input'!D24)</f>
        <v/>
      </c>
      <c r="E24" s="19" t="str">
        <f>IF('Start Here'!$B$8="Paste Import",'Paste Import'!E24,'Manual Input'!E24)</f>
        <v/>
      </c>
      <c r="F24" s="19" t="str">
        <f>IF('Start Here'!$B$8="Paste Import",'Paste Import'!F24,'Manual Input'!F24)</f>
        <v/>
      </c>
      <c r="G24" s="19" t="str">
        <f>IF('Start Here'!$B$8="Paste Import",'Paste Import'!G24,'Manual Input'!G24)</f>
        <v/>
      </c>
      <c r="H24" s="19" t="str">
        <f>IF('Start Here'!$B$8="Paste Import",'Paste Import'!H24,'Manual Input'!H24)</f>
        <v/>
      </c>
      <c r="I24" s="19" t="str">
        <f>IF(B24="","",IF(COUNTIF($B$6:$B$105,B24)&gt;1,"Duplicate",""))</f>
        <v/>
      </c>
      <c r="J24" s="19" t="str">
        <f>IF(COUNTA(A24:H24)=0,"",IF(OR(A24="",D24="",E24="",F24=""),"Incomplete",IF(F24="Unresolved","Review","OK")))</f>
        <v/>
      </c>
    </row>
    <row r="25" spans="1:15" x14ac:dyDescent="0.25">
      <c r="A25" s="18" t="str">
        <f>IF('Start Here'!$B$8="Paste Import",'Paste Import'!A25,'Manual Input'!A25)</f>
        <v/>
      </c>
      <c r="B25" s="19" t="str">
        <f>IF('Start Here'!$B$8="Paste Import",'Paste Import'!B25,'Manual Input'!B25)</f>
        <v/>
      </c>
      <c r="C25" s="19" t="str">
        <f>IF('Start Here'!$B$8="Paste Import",'Paste Import'!C25,'Manual Input'!C25)</f>
        <v/>
      </c>
      <c r="D25" s="20" t="str">
        <f>IF('Start Here'!$B$8="Paste Import",'Paste Import'!D25,'Manual Input'!D25)</f>
        <v/>
      </c>
      <c r="E25" s="19" t="str">
        <f>IF('Start Here'!$B$8="Paste Import",'Paste Import'!E25,'Manual Input'!E25)</f>
        <v/>
      </c>
      <c r="F25" s="19" t="str">
        <f>IF('Start Here'!$B$8="Paste Import",'Paste Import'!F25,'Manual Input'!F25)</f>
        <v/>
      </c>
      <c r="G25" s="19" t="str">
        <f>IF('Start Here'!$B$8="Paste Import",'Paste Import'!G25,'Manual Input'!G25)</f>
        <v/>
      </c>
      <c r="H25" s="19" t="str">
        <f>IF('Start Here'!$B$8="Paste Import",'Paste Import'!H25,'Manual Input'!H25)</f>
        <v/>
      </c>
      <c r="I25" s="19" t="str">
        <f>IF(B25="","",IF(COUNTIF($B$6:$B$105,B25)&gt;1,"Duplicate",""))</f>
        <v/>
      </c>
      <c r="J25" s="19" t="str">
        <f>IF(COUNTA(A25:H25)=0,"",IF(OR(A25="",D25="",E25="",F25=""),"Incomplete",IF(F25="Unresolved","Review","OK")))</f>
        <v/>
      </c>
    </row>
    <row r="26" spans="1:10" x14ac:dyDescent="0.25">
      <c r="A26" s="18" t="str">
        <f>IF('Start Here'!$B$8="Paste Import",'Paste Import'!A26,'Manual Input'!A26)</f>
        <v/>
      </c>
      <c r="B26" s="19" t="str">
        <f>IF('Start Here'!$B$8="Paste Import",'Paste Import'!B26,'Manual Input'!B26)</f>
        <v/>
      </c>
      <c r="C26" s="19" t="str">
        <f>IF('Start Here'!$B$8="Paste Import",'Paste Import'!C26,'Manual Input'!C26)</f>
        <v/>
      </c>
      <c r="D26" s="20" t="str">
        <f>IF('Start Here'!$B$8="Paste Import",'Paste Import'!D26,'Manual Input'!D26)</f>
        <v/>
      </c>
      <c r="E26" s="19" t="str">
        <f>IF('Start Here'!$B$8="Paste Import",'Paste Import'!E26,'Manual Input'!E26)</f>
        <v/>
      </c>
      <c r="F26" s="19" t="str">
        <f>IF('Start Here'!$B$8="Paste Import",'Paste Import'!F26,'Manual Input'!F26)</f>
        <v/>
      </c>
      <c r="G26" s="19" t="str">
        <f>IF('Start Here'!$B$8="Paste Import",'Paste Import'!G26,'Manual Input'!G26)</f>
        <v/>
      </c>
      <c r="H26" s="19" t="str">
        <f>IF('Start Here'!$B$8="Paste Import",'Paste Import'!H26,'Manual Input'!H26)</f>
        <v/>
      </c>
      <c r="I26" s="19" t="str">
        <f>IF(B26="","",IF(COUNTIF($B$6:$B$105,B26)&gt;1,"Duplicate",""))</f>
        <v/>
      </c>
      <c r="J26" s="19" t="str">
        <f>IF(COUNTA(A26:H26)=0,"",IF(OR(A26="",D26="",E26="",F26=""),"Incomplete",IF(F26="Unresolved","Review","OK")))</f>
        <v/>
      </c>
    </row>
    <row r="27" spans="1:10" x14ac:dyDescent="0.25">
      <c r="A27" s="18" t="str">
        <f>IF('Start Here'!$B$8="Paste Import",'Paste Import'!A27,'Manual Input'!A27)</f>
        <v/>
      </c>
      <c r="B27" s="19" t="str">
        <f>IF('Start Here'!$B$8="Paste Import",'Paste Import'!B27,'Manual Input'!B27)</f>
        <v/>
      </c>
      <c r="C27" s="19" t="str">
        <f>IF('Start Here'!$B$8="Paste Import",'Paste Import'!C27,'Manual Input'!C27)</f>
        <v/>
      </c>
      <c r="D27" s="20" t="str">
        <f>IF('Start Here'!$B$8="Paste Import",'Paste Import'!D27,'Manual Input'!D27)</f>
        <v/>
      </c>
      <c r="E27" s="19" t="str">
        <f>IF('Start Here'!$B$8="Paste Import",'Paste Import'!E27,'Manual Input'!E27)</f>
        <v/>
      </c>
      <c r="F27" s="19" t="str">
        <f>IF('Start Here'!$B$8="Paste Import",'Paste Import'!F27,'Manual Input'!F27)</f>
        <v/>
      </c>
      <c r="G27" s="19" t="str">
        <f>IF('Start Here'!$B$8="Paste Import",'Paste Import'!G27,'Manual Input'!G27)</f>
        <v/>
      </c>
      <c r="H27" s="19" t="str">
        <f>IF('Start Here'!$B$8="Paste Import",'Paste Import'!H27,'Manual Input'!H27)</f>
        <v/>
      </c>
      <c r="I27" s="19" t="str">
        <f>IF(B27="","",IF(COUNTIF($B$6:$B$105,B27)&gt;1,"Duplicate",""))</f>
        <v/>
      </c>
      <c r="J27" s="19" t="str">
        <f>IF(COUNTA(A27:H27)=0,"",IF(OR(A27="",D27="",E27="",F27=""),"Incomplete",IF(F27="Unresolved","Review","OK")))</f>
        <v/>
      </c>
    </row>
    <row r="28" spans="1:10" x14ac:dyDescent="0.25">
      <c r="A28" s="18" t="str">
        <f>IF('Start Here'!$B$8="Paste Import",'Paste Import'!A28,'Manual Input'!A28)</f>
        <v/>
      </c>
      <c r="B28" s="19" t="str">
        <f>IF('Start Here'!$B$8="Paste Import",'Paste Import'!B28,'Manual Input'!B28)</f>
        <v/>
      </c>
      <c r="C28" s="19" t="str">
        <f>IF('Start Here'!$B$8="Paste Import",'Paste Import'!C28,'Manual Input'!C28)</f>
        <v/>
      </c>
      <c r="D28" s="20" t="str">
        <f>IF('Start Here'!$B$8="Paste Import",'Paste Import'!D28,'Manual Input'!D28)</f>
        <v/>
      </c>
      <c r="E28" s="19" t="str">
        <f>IF('Start Here'!$B$8="Paste Import",'Paste Import'!E28,'Manual Input'!E28)</f>
        <v/>
      </c>
      <c r="F28" s="19" t="str">
        <f>IF('Start Here'!$B$8="Paste Import",'Paste Import'!F28,'Manual Input'!F28)</f>
        <v/>
      </c>
      <c r="G28" s="19" t="str">
        <f>IF('Start Here'!$B$8="Paste Import",'Paste Import'!G28,'Manual Input'!G28)</f>
        <v/>
      </c>
      <c r="H28" s="19" t="str">
        <f>IF('Start Here'!$B$8="Paste Import",'Paste Import'!H28,'Manual Input'!H28)</f>
        <v/>
      </c>
      <c r="I28" s="19" t="str">
        <f>IF(B28="","",IF(COUNTIF($B$6:$B$105,B28)&gt;1,"Duplicate",""))</f>
        <v/>
      </c>
      <c r="J28" s="19" t="str">
        <f>IF(COUNTA(A28:H28)=0,"",IF(OR(A28="",D28="",E28="",F28=""),"Incomplete",IF(F28="Unresolved","Review","OK")))</f>
        <v/>
      </c>
    </row>
    <row r="29" spans="1:10" x14ac:dyDescent="0.25">
      <c r="A29" s="18" t="str">
        <f>IF('Start Here'!$B$8="Paste Import",'Paste Import'!A29,'Manual Input'!A29)</f>
        <v/>
      </c>
      <c r="B29" s="19" t="str">
        <f>IF('Start Here'!$B$8="Paste Import",'Paste Import'!B29,'Manual Input'!B29)</f>
        <v/>
      </c>
      <c r="C29" s="19" t="str">
        <f>IF('Start Here'!$B$8="Paste Import",'Paste Import'!C29,'Manual Input'!C29)</f>
        <v/>
      </c>
      <c r="D29" s="20" t="str">
        <f>IF('Start Here'!$B$8="Paste Import",'Paste Import'!D29,'Manual Input'!D29)</f>
        <v/>
      </c>
      <c r="E29" s="19" t="str">
        <f>IF('Start Here'!$B$8="Paste Import",'Paste Import'!E29,'Manual Input'!E29)</f>
        <v/>
      </c>
      <c r="F29" s="19" t="str">
        <f>IF('Start Here'!$B$8="Paste Import",'Paste Import'!F29,'Manual Input'!F29)</f>
        <v/>
      </c>
      <c r="G29" s="19" t="str">
        <f>IF('Start Here'!$B$8="Paste Import",'Paste Import'!G29,'Manual Input'!G29)</f>
        <v/>
      </c>
      <c r="H29" s="19" t="str">
        <f>IF('Start Here'!$B$8="Paste Import",'Paste Import'!H29,'Manual Input'!H29)</f>
        <v/>
      </c>
      <c r="I29" s="19" t="str">
        <f>IF(B29="","",IF(COUNTIF($B$6:$B$105,B29)&gt;1,"Duplicate",""))</f>
        <v/>
      </c>
      <c r="J29" s="19" t="str">
        <f>IF(COUNTA(A29:H29)=0,"",IF(OR(A29="",D29="",E29="",F29=""),"Incomplete",IF(F29="Unresolved","Review","OK")))</f>
        <v/>
      </c>
    </row>
    <row r="30" spans="1:10" x14ac:dyDescent="0.25">
      <c r="A30" s="18" t="str">
        <f>IF('Start Here'!$B$8="Paste Import",'Paste Import'!A30,'Manual Input'!A30)</f>
        <v/>
      </c>
      <c r="B30" s="19" t="str">
        <f>IF('Start Here'!$B$8="Paste Import",'Paste Import'!B30,'Manual Input'!B30)</f>
        <v/>
      </c>
      <c r="C30" s="19" t="str">
        <f>IF('Start Here'!$B$8="Paste Import",'Paste Import'!C30,'Manual Input'!C30)</f>
        <v/>
      </c>
      <c r="D30" s="20" t="str">
        <f>IF('Start Here'!$B$8="Paste Import",'Paste Import'!D30,'Manual Input'!D30)</f>
        <v/>
      </c>
      <c r="E30" s="19" t="str">
        <f>IF('Start Here'!$B$8="Paste Import",'Paste Import'!E30,'Manual Input'!E30)</f>
        <v/>
      </c>
      <c r="F30" s="19" t="str">
        <f>IF('Start Here'!$B$8="Paste Import",'Paste Import'!F30,'Manual Input'!F30)</f>
        <v/>
      </c>
      <c r="G30" s="19" t="str">
        <f>IF('Start Here'!$B$8="Paste Import",'Paste Import'!G30,'Manual Input'!G30)</f>
        <v/>
      </c>
      <c r="H30" s="19" t="str">
        <f>IF('Start Here'!$B$8="Paste Import",'Paste Import'!H30,'Manual Input'!H30)</f>
        <v/>
      </c>
      <c r="I30" s="19" t="str">
        <f>IF(B30="","",IF(COUNTIF($B$6:$B$105,B30)&gt;1,"Duplicate",""))</f>
        <v/>
      </c>
      <c r="J30" s="19" t="str">
        <f>IF(COUNTA(A30:H30)=0,"",IF(OR(A30="",D30="",E30="",F30=""),"Incomplete",IF(F30="Unresolved","Review","OK")))</f>
        <v/>
      </c>
    </row>
    <row r="31" spans="1:10" x14ac:dyDescent="0.25">
      <c r="A31" s="18" t="str">
        <f>IF('Start Here'!$B$8="Paste Import",'Paste Import'!A31,'Manual Input'!A31)</f>
        <v/>
      </c>
      <c r="B31" s="19" t="str">
        <f>IF('Start Here'!$B$8="Paste Import",'Paste Import'!B31,'Manual Input'!B31)</f>
        <v/>
      </c>
      <c r="C31" s="19" t="str">
        <f>IF('Start Here'!$B$8="Paste Import",'Paste Import'!C31,'Manual Input'!C31)</f>
        <v/>
      </c>
      <c r="D31" s="20" t="str">
        <f>IF('Start Here'!$B$8="Paste Import",'Paste Import'!D31,'Manual Input'!D31)</f>
        <v/>
      </c>
      <c r="E31" s="19" t="str">
        <f>IF('Start Here'!$B$8="Paste Import",'Paste Import'!E31,'Manual Input'!E31)</f>
        <v/>
      </c>
      <c r="F31" s="19" t="str">
        <f>IF('Start Here'!$B$8="Paste Import",'Paste Import'!F31,'Manual Input'!F31)</f>
        <v/>
      </c>
      <c r="G31" s="19" t="str">
        <f>IF('Start Here'!$B$8="Paste Import",'Paste Import'!G31,'Manual Input'!G31)</f>
        <v/>
      </c>
      <c r="H31" s="19" t="str">
        <f>IF('Start Here'!$B$8="Paste Import",'Paste Import'!H31,'Manual Input'!H31)</f>
        <v/>
      </c>
      <c r="I31" s="19" t="str">
        <f>IF(B31="","",IF(COUNTIF($B$6:$B$105,B31)&gt;1,"Duplicate",""))</f>
        <v/>
      </c>
      <c r="J31" s="19" t="str">
        <f>IF(COUNTA(A31:H31)=0,"",IF(OR(A31="",D31="",E31="",F31=""),"Incomplete",IF(F31="Unresolved","Review","OK")))</f>
        <v/>
      </c>
    </row>
    <row r="32" spans="1:10" x14ac:dyDescent="0.25">
      <c r="A32" s="18" t="str">
        <f>IF('Start Here'!$B$8="Paste Import",'Paste Import'!A32,'Manual Input'!A32)</f>
        <v/>
      </c>
      <c r="B32" s="19" t="str">
        <f>IF('Start Here'!$B$8="Paste Import",'Paste Import'!B32,'Manual Input'!B32)</f>
        <v/>
      </c>
      <c r="C32" s="19" t="str">
        <f>IF('Start Here'!$B$8="Paste Import",'Paste Import'!C32,'Manual Input'!C32)</f>
        <v/>
      </c>
      <c r="D32" s="20" t="str">
        <f>IF('Start Here'!$B$8="Paste Import",'Paste Import'!D32,'Manual Input'!D32)</f>
        <v/>
      </c>
      <c r="E32" s="19" t="str">
        <f>IF('Start Here'!$B$8="Paste Import",'Paste Import'!E32,'Manual Input'!E32)</f>
        <v/>
      </c>
      <c r="F32" s="19" t="str">
        <f>IF('Start Here'!$B$8="Paste Import",'Paste Import'!F32,'Manual Input'!F32)</f>
        <v/>
      </c>
      <c r="G32" s="19" t="str">
        <f>IF('Start Here'!$B$8="Paste Import",'Paste Import'!G32,'Manual Input'!G32)</f>
        <v/>
      </c>
      <c r="H32" s="19" t="str">
        <f>IF('Start Here'!$B$8="Paste Import",'Paste Import'!H32,'Manual Input'!H32)</f>
        <v/>
      </c>
      <c r="I32" s="19" t="str">
        <f>IF(B32="","",IF(COUNTIF($B$6:$B$105,B32)&gt;1,"Duplicate",""))</f>
        <v/>
      </c>
      <c r="J32" s="19" t="str">
        <f>IF(COUNTA(A32:H32)=0,"",IF(OR(A32="",D32="",E32="",F32=""),"Incomplete",IF(F32="Unresolved","Review","OK")))</f>
        <v/>
      </c>
    </row>
    <row r="33" spans="1:10" x14ac:dyDescent="0.25">
      <c r="A33" s="18" t="str">
        <f>IF('Start Here'!$B$8="Paste Import",'Paste Import'!A33,'Manual Input'!A33)</f>
        <v/>
      </c>
      <c r="B33" s="19" t="str">
        <f>IF('Start Here'!$B$8="Paste Import",'Paste Import'!B33,'Manual Input'!B33)</f>
        <v/>
      </c>
      <c r="C33" s="19" t="str">
        <f>IF('Start Here'!$B$8="Paste Import",'Paste Import'!C33,'Manual Input'!C33)</f>
        <v/>
      </c>
      <c r="D33" s="20" t="str">
        <f>IF('Start Here'!$B$8="Paste Import",'Paste Import'!D33,'Manual Input'!D33)</f>
        <v/>
      </c>
      <c r="E33" s="19" t="str">
        <f>IF('Start Here'!$B$8="Paste Import",'Paste Import'!E33,'Manual Input'!E33)</f>
        <v/>
      </c>
      <c r="F33" s="19" t="str">
        <f>IF('Start Here'!$B$8="Paste Import",'Paste Import'!F33,'Manual Input'!F33)</f>
        <v/>
      </c>
      <c r="G33" s="19" t="str">
        <f>IF('Start Here'!$B$8="Paste Import",'Paste Import'!G33,'Manual Input'!G33)</f>
        <v/>
      </c>
      <c r="H33" s="19" t="str">
        <f>IF('Start Here'!$B$8="Paste Import",'Paste Import'!H33,'Manual Input'!H33)</f>
        <v/>
      </c>
      <c r="I33" s="19" t="str">
        <f>IF(B33="","",IF(COUNTIF($B$6:$B$105,B33)&gt;1,"Duplicate",""))</f>
        <v/>
      </c>
      <c r="J33" s="19" t="str">
        <f>IF(COUNTA(A33:H33)=0,"",IF(OR(A33="",D33="",E33="",F33=""),"Incomplete",IF(F33="Unresolved","Review","OK")))</f>
        <v/>
      </c>
    </row>
    <row r="34" spans="1:10" x14ac:dyDescent="0.25">
      <c r="A34" s="18" t="str">
        <f>IF('Start Here'!$B$8="Paste Import",'Paste Import'!A34,'Manual Input'!A34)</f>
        <v/>
      </c>
      <c r="B34" s="19" t="str">
        <f>IF('Start Here'!$B$8="Paste Import",'Paste Import'!B34,'Manual Input'!B34)</f>
        <v/>
      </c>
      <c r="C34" s="19" t="str">
        <f>IF('Start Here'!$B$8="Paste Import",'Paste Import'!C34,'Manual Input'!C34)</f>
        <v/>
      </c>
      <c r="D34" s="20" t="str">
        <f>IF('Start Here'!$B$8="Paste Import",'Paste Import'!D34,'Manual Input'!D34)</f>
        <v/>
      </c>
      <c r="E34" s="19" t="str">
        <f>IF('Start Here'!$B$8="Paste Import",'Paste Import'!E34,'Manual Input'!E34)</f>
        <v/>
      </c>
      <c r="F34" s="19" t="str">
        <f>IF('Start Here'!$B$8="Paste Import",'Paste Import'!F34,'Manual Input'!F34)</f>
        <v/>
      </c>
      <c r="G34" s="19" t="str">
        <f>IF('Start Here'!$B$8="Paste Import",'Paste Import'!G34,'Manual Input'!G34)</f>
        <v/>
      </c>
      <c r="H34" s="19" t="str">
        <f>IF('Start Here'!$B$8="Paste Import",'Paste Import'!H34,'Manual Input'!H34)</f>
        <v/>
      </c>
      <c r="I34" s="19" t="str">
        <f>IF(B34="","",IF(COUNTIF($B$6:$B$105,B34)&gt;1,"Duplicate",""))</f>
        <v/>
      </c>
      <c r="J34" s="19" t="str">
        <f>IF(COUNTA(A34:H34)=0,"",IF(OR(A34="",D34="",E34="",F34=""),"Incomplete",IF(F34="Unresolved","Review","OK")))</f>
        <v/>
      </c>
    </row>
    <row r="35" spans="1:10" x14ac:dyDescent="0.25">
      <c r="A35" s="18" t="str">
        <f>IF('Start Here'!$B$8="Paste Import",'Paste Import'!A35,'Manual Input'!A35)</f>
        <v/>
      </c>
      <c r="B35" s="19" t="str">
        <f>IF('Start Here'!$B$8="Paste Import",'Paste Import'!B35,'Manual Input'!B35)</f>
        <v/>
      </c>
      <c r="C35" s="19" t="str">
        <f>IF('Start Here'!$B$8="Paste Import",'Paste Import'!C35,'Manual Input'!C35)</f>
        <v/>
      </c>
      <c r="D35" s="20" t="str">
        <f>IF('Start Here'!$B$8="Paste Import",'Paste Import'!D35,'Manual Input'!D35)</f>
        <v/>
      </c>
      <c r="E35" s="19" t="str">
        <f>IF('Start Here'!$B$8="Paste Import",'Paste Import'!E35,'Manual Input'!E35)</f>
        <v/>
      </c>
      <c r="F35" s="19" t="str">
        <f>IF('Start Here'!$B$8="Paste Import",'Paste Import'!F35,'Manual Input'!F35)</f>
        <v/>
      </c>
      <c r="G35" s="19" t="str">
        <f>IF('Start Here'!$B$8="Paste Import",'Paste Import'!G35,'Manual Input'!G35)</f>
        <v/>
      </c>
      <c r="H35" s="19" t="str">
        <f>IF('Start Here'!$B$8="Paste Import",'Paste Import'!H35,'Manual Input'!H35)</f>
        <v/>
      </c>
      <c r="I35" s="19" t="str">
        <f>IF(B35="","",IF(COUNTIF($B$6:$B$105,B35)&gt;1,"Duplicate",""))</f>
        <v/>
      </c>
      <c r="J35" s="19" t="str">
        <f>IF(COUNTA(A35:H35)=0,"",IF(OR(A35="",D35="",E35="",F35=""),"Incomplete",IF(F35="Unresolved","Review","OK")))</f>
        <v/>
      </c>
    </row>
    <row r="36" spans="1:10" x14ac:dyDescent="0.25">
      <c r="A36" s="18" t="str">
        <f>IF('Start Here'!$B$8="Paste Import",'Paste Import'!A36,'Manual Input'!A36)</f>
        <v/>
      </c>
      <c r="B36" s="19" t="str">
        <f>IF('Start Here'!$B$8="Paste Import",'Paste Import'!B36,'Manual Input'!B36)</f>
        <v/>
      </c>
      <c r="C36" s="19" t="str">
        <f>IF('Start Here'!$B$8="Paste Import",'Paste Import'!C36,'Manual Input'!C36)</f>
        <v/>
      </c>
      <c r="D36" s="20" t="str">
        <f>IF('Start Here'!$B$8="Paste Import",'Paste Import'!D36,'Manual Input'!D36)</f>
        <v/>
      </c>
      <c r="E36" s="19" t="str">
        <f>IF('Start Here'!$B$8="Paste Import",'Paste Import'!E36,'Manual Input'!E36)</f>
        <v/>
      </c>
      <c r="F36" s="19" t="str">
        <f>IF('Start Here'!$B$8="Paste Import",'Paste Import'!F36,'Manual Input'!F36)</f>
        <v/>
      </c>
      <c r="G36" s="19" t="str">
        <f>IF('Start Here'!$B$8="Paste Import",'Paste Import'!G36,'Manual Input'!G36)</f>
        <v/>
      </c>
      <c r="H36" s="19" t="str">
        <f>IF('Start Here'!$B$8="Paste Import",'Paste Import'!H36,'Manual Input'!H36)</f>
        <v/>
      </c>
      <c r="I36" s="19" t="str">
        <f>IF(B36="","",IF(COUNTIF($B$6:$B$105,B36)&gt;1,"Duplicate",""))</f>
        <v/>
      </c>
      <c r="J36" s="19" t="str">
        <f>IF(COUNTA(A36:H36)=0,"",IF(OR(A36="",D36="",E36="",F36=""),"Incomplete",IF(F36="Unresolved","Review","OK")))</f>
        <v/>
      </c>
    </row>
    <row r="37" spans="1:10" x14ac:dyDescent="0.25">
      <c r="A37" s="18" t="str">
        <f>IF('Start Here'!$B$8="Paste Import",'Paste Import'!A37,'Manual Input'!A37)</f>
        <v/>
      </c>
      <c r="B37" s="19" t="str">
        <f>IF('Start Here'!$B$8="Paste Import",'Paste Import'!B37,'Manual Input'!B37)</f>
        <v/>
      </c>
      <c r="C37" s="19" t="str">
        <f>IF('Start Here'!$B$8="Paste Import",'Paste Import'!C37,'Manual Input'!C37)</f>
        <v/>
      </c>
      <c r="D37" s="20" t="str">
        <f>IF('Start Here'!$B$8="Paste Import",'Paste Import'!D37,'Manual Input'!D37)</f>
        <v/>
      </c>
      <c r="E37" s="19" t="str">
        <f>IF('Start Here'!$B$8="Paste Import",'Paste Import'!E37,'Manual Input'!E37)</f>
        <v/>
      </c>
      <c r="F37" s="19" t="str">
        <f>IF('Start Here'!$B$8="Paste Import",'Paste Import'!F37,'Manual Input'!F37)</f>
        <v/>
      </c>
      <c r="G37" s="19" t="str">
        <f>IF('Start Here'!$B$8="Paste Import",'Paste Import'!G37,'Manual Input'!G37)</f>
        <v/>
      </c>
      <c r="H37" s="19" t="str">
        <f>IF('Start Here'!$B$8="Paste Import",'Paste Import'!H37,'Manual Input'!H37)</f>
        <v/>
      </c>
      <c r="I37" s="19" t="str">
        <f>IF(B37="","",IF(COUNTIF($B$6:$B$105,B37)&gt;1,"Duplicate",""))</f>
        <v/>
      </c>
      <c r="J37" s="19" t="str">
        <f>IF(COUNTA(A37:H37)=0,"",IF(OR(A37="",D37="",E37="",F37=""),"Incomplete",IF(F37="Unresolved","Review","OK")))</f>
        <v/>
      </c>
    </row>
    <row r="38" spans="1:10" x14ac:dyDescent="0.25">
      <c r="A38" s="18" t="str">
        <f>IF('Start Here'!$B$8="Paste Import",'Paste Import'!A38,'Manual Input'!A38)</f>
        <v/>
      </c>
      <c r="B38" s="19" t="str">
        <f>IF('Start Here'!$B$8="Paste Import",'Paste Import'!B38,'Manual Input'!B38)</f>
        <v/>
      </c>
      <c r="C38" s="19" t="str">
        <f>IF('Start Here'!$B$8="Paste Import",'Paste Import'!C38,'Manual Input'!C38)</f>
        <v/>
      </c>
      <c r="D38" s="20" t="str">
        <f>IF('Start Here'!$B$8="Paste Import",'Paste Import'!D38,'Manual Input'!D38)</f>
        <v/>
      </c>
      <c r="E38" s="19" t="str">
        <f>IF('Start Here'!$B$8="Paste Import",'Paste Import'!E38,'Manual Input'!E38)</f>
        <v/>
      </c>
      <c r="F38" s="19" t="str">
        <f>IF('Start Here'!$B$8="Paste Import",'Paste Import'!F38,'Manual Input'!F38)</f>
        <v/>
      </c>
      <c r="G38" s="19" t="str">
        <f>IF('Start Here'!$B$8="Paste Import",'Paste Import'!G38,'Manual Input'!G38)</f>
        <v/>
      </c>
      <c r="H38" s="19" t="str">
        <f>IF('Start Here'!$B$8="Paste Import",'Paste Import'!H38,'Manual Input'!H38)</f>
        <v/>
      </c>
      <c r="I38" s="19" t="str">
        <f>IF(B38="","",IF(COUNTIF($B$6:$B$105,B38)&gt;1,"Duplicate",""))</f>
        <v/>
      </c>
      <c r="J38" s="19" t="str">
        <f>IF(COUNTA(A38:H38)=0,"",IF(OR(A38="",D38="",E38="",F38=""),"Incomplete",IF(F38="Unresolved","Review","OK")))</f>
        <v/>
      </c>
    </row>
    <row r="39" spans="1:10" x14ac:dyDescent="0.25">
      <c r="A39" s="18" t="str">
        <f>IF('Start Here'!$B$8="Paste Import",'Paste Import'!A39,'Manual Input'!A39)</f>
        <v/>
      </c>
      <c r="B39" s="19" t="str">
        <f>IF('Start Here'!$B$8="Paste Import",'Paste Import'!B39,'Manual Input'!B39)</f>
        <v/>
      </c>
      <c r="C39" s="19" t="str">
        <f>IF('Start Here'!$B$8="Paste Import",'Paste Import'!C39,'Manual Input'!C39)</f>
        <v/>
      </c>
      <c r="D39" s="20" t="str">
        <f>IF('Start Here'!$B$8="Paste Import",'Paste Import'!D39,'Manual Input'!D39)</f>
        <v/>
      </c>
      <c r="E39" s="19" t="str">
        <f>IF('Start Here'!$B$8="Paste Import",'Paste Import'!E39,'Manual Input'!E39)</f>
        <v/>
      </c>
      <c r="F39" s="19" t="str">
        <f>IF('Start Here'!$B$8="Paste Import",'Paste Import'!F39,'Manual Input'!F39)</f>
        <v/>
      </c>
      <c r="G39" s="19" t="str">
        <f>IF('Start Here'!$B$8="Paste Import",'Paste Import'!G39,'Manual Input'!G39)</f>
        <v/>
      </c>
      <c r="H39" s="19" t="str">
        <f>IF('Start Here'!$B$8="Paste Import",'Paste Import'!H39,'Manual Input'!H39)</f>
        <v/>
      </c>
      <c r="I39" s="19" t="str">
        <f>IF(B39="","",IF(COUNTIF($B$6:$B$105,B39)&gt;1,"Duplicate",""))</f>
        <v/>
      </c>
      <c r="J39" s="19" t="str">
        <f>IF(COUNTA(A39:H39)=0,"",IF(OR(A39="",D39="",E39="",F39=""),"Incomplete",IF(F39="Unresolved","Review","OK")))</f>
        <v/>
      </c>
    </row>
    <row r="40" spans="1:10" x14ac:dyDescent="0.25">
      <c r="A40" s="18" t="str">
        <f>IF('Start Here'!$B$8="Paste Import",'Paste Import'!A40,'Manual Input'!A40)</f>
        <v/>
      </c>
      <c r="B40" s="19" t="str">
        <f>IF('Start Here'!$B$8="Paste Import",'Paste Import'!B40,'Manual Input'!B40)</f>
        <v/>
      </c>
      <c r="C40" s="19" t="str">
        <f>IF('Start Here'!$B$8="Paste Import",'Paste Import'!C40,'Manual Input'!C40)</f>
        <v/>
      </c>
      <c r="D40" s="20" t="str">
        <f>IF('Start Here'!$B$8="Paste Import",'Paste Import'!D40,'Manual Input'!D40)</f>
        <v/>
      </c>
      <c r="E40" s="19" t="str">
        <f>IF('Start Here'!$B$8="Paste Import",'Paste Import'!E40,'Manual Input'!E40)</f>
        <v/>
      </c>
      <c r="F40" s="19" t="str">
        <f>IF('Start Here'!$B$8="Paste Import",'Paste Import'!F40,'Manual Input'!F40)</f>
        <v/>
      </c>
      <c r="G40" s="19" t="str">
        <f>IF('Start Here'!$B$8="Paste Import",'Paste Import'!G40,'Manual Input'!G40)</f>
        <v/>
      </c>
      <c r="H40" s="19" t="str">
        <f>IF('Start Here'!$B$8="Paste Import",'Paste Import'!H40,'Manual Input'!H40)</f>
        <v/>
      </c>
      <c r="I40" s="19" t="str">
        <f>IF(B40="","",IF(COUNTIF($B$6:$B$105,B40)&gt;1,"Duplicate",""))</f>
        <v/>
      </c>
      <c r="J40" s="19" t="str">
        <f>IF(COUNTA(A40:H40)=0,"",IF(OR(A40="",D40="",E40="",F40=""),"Incomplete",IF(F40="Unresolved","Review","OK")))</f>
        <v/>
      </c>
    </row>
    <row r="41" spans="1:10" x14ac:dyDescent="0.25">
      <c r="A41" s="18" t="str">
        <f>IF('Start Here'!$B$8="Paste Import",'Paste Import'!A41,'Manual Input'!A41)</f>
        <v/>
      </c>
      <c r="B41" s="19" t="str">
        <f>IF('Start Here'!$B$8="Paste Import",'Paste Import'!B41,'Manual Input'!B41)</f>
        <v/>
      </c>
      <c r="C41" s="19" t="str">
        <f>IF('Start Here'!$B$8="Paste Import",'Paste Import'!C41,'Manual Input'!C41)</f>
        <v/>
      </c>
      <c r="D41" s="20" t="str">
        <f>IF('Start Here'!$B$8="Paste Import",'Paste Import'!D41,'Manual Input'!D41)</f>
        <v/>
      </c>
      <c r="E41" s="19" t="str">
        <f>IF('Start Here'!$B$8="Paste Import",'Paste Import'!E41,'Manual Input'!E41)</f>
        <v/>
      </c>
      <c r="F41" s="19" t="str">
        <f>IF('Start Here'!$B$8="Paste Import",'Paste Import'!F41,'Manual Input'!F41)</f>
        <v/>
      </c>
      <c r="G41" s="19" t="str">
        <f>IF('Start Here'!$B$8="Paste Import",'Paste Import'!G41,'Manual Input'!G41)</f>
        <v/>
      </c>
      <c r="H41" s="19" t="str">
        <f>IF('Start Here'!$B$8="Paste Import",'Paste Import'!H41,'Manual Input'!H41)</f>
        <v/>
      </c>
      <c r="I41" s="19" t="str">
        <f>IF(B41="","",IF(COUNTIF($B$6:$B$105,B41)&gt;1,"Duplicate",""))</f>
        <v/>
      </c>
      <c r="J41" s="19" t="str">
        <f>IF(COUNTA(A41:H41)=0,"",IF(OR(A41="",D41="",E41="",F41=""),"Incomplete",IF(F41="Unresolved","Review","OK")))</f>
        <v/>
      </c>
    </row>
    <row r="42" spans="1:10" x14ac:dyDescent="0.25">
      <c r="A42" s="18" t="str">
        <f>IF('Start Here'!$B$8="Paste Import",'Paste Import'!A42,'Manual Input'!A42)</f>
        <v/>
      </c>
      <c r="B42" s="19" t="str">
        <f>IF('Start Here'!$B$8="Paste Import",'Paste Import'!B42,'Manual Input'!B42)</f>
        <v/>
      </c>
      <c r="C42" s="19" t="str">
        <f>IF('Start Here'!$B$8="Paste Import",'Paste Import'!C42,'Manual Input'!C42)</f>
        <v/>
      </c>
      <c r="D42" s="20" t="str">
        <f>IF('Start Here'!$B$8="Paste Import",'Paste Import'!D42,'Manual Input'!D42)</f>
        <v/>
      </c>
      <c r="E42" s="19" t="str">
        <f>IF('Start Here'!$B$8="Paste Import",'Paste Import'!E42,'Manual Input'!E42)</f>
        <v/>
      </c>
      <c r="F42" s="19" t="str">
        <f>IF('Start Here'!$B$8="Paste Import",'Paste Import'!F42,'Manual Input'!F42)</f>
        <v/>
      </c>
      <c r="G42" s="19" t="str">
        <f>IF('Start Here'!$B$8="Paste Import",'Paste Import'!G42,'Manual Input'!G42)</f>
        <v/>
      </c>
      <c r="H42" s="19" t="str">
        <f>IF('Start Here'!$B$8="Paste Import",'Paste Import'!H42,'Manual Input'!H42)</f>
        <v/>
      </c>
      <c r="I42" s="19" t="str">
        <f>IF(B42="","",IF(COUNTIF($B$6:$B$105,B42)&gt;1,"Duplicate",""))</f>
        <v/>
      </c>
      <c r="J42" s="19" t="str">
        <f>IF(COUNTA(A42:H42)=0,"",IF(OR(A42="",D42="",E42="",F42=""),"Incomplete",IF(F42="Unresolved","Review","OK")))</f>
        <v/>
      </c>
    </row>
    <row r="43" spans="1:10" x14ac:dyDescent="0.25">
      <c r="A43" s="18" t="str">
        <f>IF('Start Here'!$B$8="Paste Import",'Paste Import'!A43,'Manual Input'!A43)</f>
        <v/>
      </c>
      <c r="B43" s="19" t="str">
        <f>IF('Start Here'!$B$8="Paste Import",'Paste Import'!B43,'Manual Input'!B43)</f>
        <v/>
      </c>
      <c r="C43" s="19" t="str">
        <f>IF('Start Here'!$B$8="Paste Import",'Paste Import'!C43,'Manual Input'!C43)</f>
        <v/>
      </c>
      <c r="D43" s="20" t="str">
        <f>IF('Start Here'!$B$8="Paste Import",'Paste Import'!D43,'Manual Input'!D43)</f>
        <v/>
      </c>
      <c r="E43" s="19" t="str">
        <f>IF('Start Here'!$B$8="Paste Import",'Paste Import'!E43,'Manual Input'!E43)</f>
        <v/>
      </c>
      <c r="F43" s="19" t="str">
        <f>IF('Start Here'!$B$8="Paste Import",'Paste Import'!F43,'Manual Input'!F43)</f>
        <v/>
      </c>
      <c r="G43" s="19" t="str">
        <f>IF('Start Here'!$B$8="Paste Import",'Paste Import'!G43,'Manual Input'!G43)</f>
        <v/>
      </c>
      <c r="H43" s="19" t="str">
        <f>IF('Start Here'!$B$8="Paste Import",'Paste Import'!H43,'Manual Input'!H43)</f>
        <v/>
      </c>
      <c r="I43" s="19" t="str">
        <f>IF(B43="","",IF(COUNTIF($B$6:$B$105,B43)&gt;1,"Duplicate",""))</f>
        <v/>
      </c>
      <c r="J43" s="19" t="str">
        <f>IF(COUNTA(A43:H43)=0,"",IF(OR(A43="",D43="",E43="",F43=""),"Incomplete",IF(F43="Unresolved","Review","OK")))</f>
        <v/>
      </c>
    </row>
    <row r="44" spans="1:10" x14ac:dyDescent="0.25">
      <c r="A44" s="18" t="str">
        <f>IF('Start Here'!$B$8="Paste Import",'Paste Import'!A44,'Manual Input'!A44)</f>
        <v/>
      </c>
      <c r="B44" s="19" t="str">
        <f>IF('Start Here'!$B$8="Paste Import",'Paste Import'!B44,'Manual Input'!B44)</f>
        <v/>
      </c>
      <c r="C44" s="19" t="str">
        <f>IF('Start Here'!$B$8="Paste Import",'Paste Import'!C44,'Manual Input'!C44)</f>
        <v/>
      </c>
      <c r="D44" s="20" t="str">
        <f>IF('Start Here'!$B$8="Paste Import",'Paste Import'!D44,'Manual Input'!D44)</f>
        <v/>
      </c>
      <c r="E44" s="19" t="str">
        <f>IF('Start Here'!$B$8="Paste Import",'Paste Import'!E44,'Manual Input'!E44)</f>
        <v/>
      </c>
      <c r="F44" s="19" t="str">
        <f>IF('Start Here'!$B$8="Paste Import",'Paste Import'!F44,'Manual Input'!F44)</f>
        <v/>
      </c>
      <c r="G44" s="19" t="str">
        <f>IF('Start Here'!$B$8="Paste Import",'Paste Import'!G44,'Manual Input'!G44)</f>
        <v/>
      </c>
      <c r="H44" s="19" t="str">
        <f>IF('Start Here'!$B$8="Paste Import",'Paste Import'!H44,'Manual Input'!H44)</f>
        <v/>
      </c>
      <c r="I44" s="19" t="str">
        <f>IF(B44="","",IF(COUNTIF($B$6:$B$105,B44)&gt;1,"Duplicate",""))</f>
        <v/>
      </c>
      <c r="J44" s="19" t="str">
        <f>IF(COUNTA(A44:H44)=0,"",IF(OR(A44="",D44="",E44="",F44=""),"Incomplete",IF(F44="Unresolved","Review","OK")))</f>
        <v/>
      </c>
    </row>
    <row r="45" spans="1:10" x14ac:dyDescent="0.25">
      <c r="A45" s="18" t="str">
        <f>IF('Start Here'!$B$8="Paste Import",'Paste Import'!A45,'Manual Input'!A45)</f>
        <v/>
      </c>
      <c r="B45" s="19" t="str">
        <f>IF('Start Here'!$B$8="Paste Import",'Paste Import'!B45,'Manual Input'!B45)</f>
        <v/>
      </c>
      <c r="C45" s="19" t="str">
        <f>IF('Start Here'!$B$8="Paste Import",'Paste Import'!C45,'Manual Input'!C45)</f>
        <v/>
      </c>
      <c r="D45" s="20" t="str">
        <f>IF('Start Here'!$B$8="Paste Import",'Paste Import'!D45,'Manual Input'!D45)</f>
        <v/>
      </c>
      <c r="E45" s="19" t="str">
        <f>IF('Start Here'!$B$8="Paste Import",'Paste Import'!E45,'Manual Input'!E45)</f>
        <v/>
      </c>
      <c r="F45" s="19" t="str">
        <f>IF('Start Here'!$B$8="Paste Import",'Paste Import'!F45,'Manual Input'!F45)</f>
        <v/>
      </c>
      <c r="G45" s="19" t="str">
        <f>IF('Start Here'!$B$8="Paste Import",'Paste Import'!G45,'Manual Input'!G45)</f>
        <v/>
      </c>
      <c r="H45" s="19" t="str">
        <f>IF('Start Here'!$B$8="Paste Import",'Paste Import'!H45,'Manual Input'!H45)</f>
        <v/>
      </c>
      <c r="I45" s="19" t="str">
        <f>IF(B45="","",IF(COUNTIF($B$6:$B$105,B45)&gt;1,"Duplicate",""))</f>
        <v/>
      </c>
      <c r="J45" s="19" t="str">
        <f>IF(COUNTA(A45:H45)=0,"",IF(OR(A45="",D45="",E45="",F45=""),"Incomplete",IF(F45="Unresolved","Review","OK")))</f>
        <v/>
      </c>
    </row>
    <row r="46" spans="1:10" x14ac:dyDescent="0.25">
      <c r="A46" s="18" t="str">
        <f>IF('Start Here'!$B$8="Paste Import",'Paste Import'!A46,'Manual Input'!A46)</f>
        <v/>
      </c>
      <c r="B46" s="19" t="str">
        <f>IF('Start Here'!$B$8="Paste Import",'Paste Import'!B46,'Manual Input'!B46)</f>
        <v/>
      </c>
      <c r="C46" s="19" t="str">
        <f>IF('Start Here'!$B$8="Paste Import",'Paste Import'!C46,'Manual Input'!C46)</f>
        <v/>
      </c>
      <c r="D46" s="20" t="str">
        <f>IF('Start Here'!$B$8="Paste Import",'Paste Import'!D46,'Manual Input'!D46)</f>
        <v/>
      </c>
      <c r="E46" s="19" t="str">
        <f>IF('Start Here'!$B$8="Paste Import",'Paste Import'!E46,'Manual Input'!E46)</f>
        <v/>
      </c>
      <c r="F46" s="19" t="str">
        <f>IF('Start Here'!$B$8="Paste Import",'Paste Import'!F46,'Manual Input'!F46)</f>
        <v/>
      </c>
      <c r="G46" s="19" t="str">
        <f>IF('Start Here'!$B$8="Paste Import",'Paste Import'!G46,'Manual Input'!G46)</f>
        <v/>
      </c>
      <c r="H46" s="19" t="str">
        <f>IF('Start Here'!$B$8="Paste Import",'Paste Import'!H46,'Manual Input'!H46)</f>
        <v/>
      </c>
      <c r="I46" s="19" t="str">
        <f>IF(B46="","",IF(COUNTIF($B$6:$B$105,B46)&gt;1,"Duplicate",""))</f>
        <v/>
      </c>
      <c r="J46" s="19" t="str">
        <f>IF(COUNTA(A46:H46)=0,"",IF(OR(A46="",D46="",E46="",F46=""),"Incomplete",IF(F46="Unresolved","Review","OK")))</f>
        <v/>
      </c>
    </row>
    <row r="47" spans="1:10" x14ac:dyDescent="0.25">
      <c r="A47" s="18" t="str">
        <f>IF('Start Here'!$B$8="Paste Import",'Paste Import'!A47,'Manual Input'!A47)</f>
        <v/>
      </c>
      <c r="B47" s="19" t="str">
        <f>IF('Start Here'!$B$8="Paste Import",'Paste Import'!B47,'Manual Input'!B47)</f>
        <v/>
      </c>
      <c r="C47" s="19" t="str">
        <f>IF('Start Here'!$B$8="Paste Import",'Paste Import'!C47,'Manual Input'!C47)</f>
        <v/>
      </c>
      <c r="D47" s="20" t="str">
        <f>IF('Start Here'!$B$8="Paste Import",'Paste Import'!D47,'Manual Input'!D47)</f>
        <v/>
      </c>
      <c r="E47" s="19" t="str">
        <f>IF('Start Here'!$B$8="Paste Import",'Paste Import'!E47,'Manual Input'!E47)</f>
        <v/>
      </c>
      <c r="F47" s="19" t="str">
        <f>IF('Start Here'!$B$8="Paste Import",'Paste Import'!F47,'Manual Input'!F47)</f>
        <v/>
      </c>
      <c r="G47" s="19" t="str">
        <f>IF('Start Here'!$B$8="Paste Import",'Paste Import'!G47,'Manual Input'!G47)</f>
        <v/>
      </c>
      <c r="H47" s="19" t="str">
        <f>IF('Start Here'!$B$8="Paste Import",'Paste Import'!H47,'Manual Input'!H47)</f>
        <v/>
      </c>
      <c r="I47" s="19" t="str">
        <f>IF(B47="","",IF(COUNTIF($B$6:$B$105,B47)&gt;1,"Duplicate",""))</f>
        <v/>
      </c>
      <c r="J47" s="19" t="str">
        <f>IF(COUNTA(A47:H47)=0,"",IF(OR(A47="",D47="",E47="",F47=""),"Incomplete",IF(F47="Unresolved","Review","OK")))</f>
        <v/>
      </c>
    </row>
    <row r="48" spans="1:10" x14ac:dyDescent="0.25">
      <c r="A48" s="18" t="str">
        <f>IF('Start Here'!$B$8="Paste Import",'Paste Import'!A48,'Manual Input'!A48)</f>
        <v/>
      </c>
      <c r="B48" s="19" t="str">
        <f>IF('Start Here'!$B$8="Paste Import",'Paste Import'!B48,'Manual Input'!B48)</f>
        <v/>
      </c>
      <c r="C48" s="19" t="str">
        <f>IF('Start Here'!$B$8="Paste Import",'Paste Import'!C48,'Manual Input'!C48)</f>
        <v/>
      </c>
      <c r="D48" s="20" t="str">
        <f>IF('Start Here'!$B$8="Paste Import",'Paste Import'!D48,'Manual Input'!D48)</f>
        <v/>
      </c>
      <c r="E48" s="19" t="str">
        <f>IF('Start Here'!$B$8="Paste Import",'Paste Import'!E48,'Manual Input'!E48)</f>
        <v/>
      </c>
      <c r="F48" s="19" t="str">
        <f>IF('Start Here'!$B$8="Paste Import",'Paste Import'!F48,'Manual Input'!F48)</f>
        <v/>
      </c>
      <c r="G48" s="19" t="str">
        <f>IF('Start Here'!$B$8="Paste Import",'Paste Import'!G48,'Manual Input'!G48)</f>
        <v/>
      </c>
      <c r="H48" s="19" t="str">
        <f>IF('Start Here'!$B$8="Paste Import",'Paste Import'!H48,'Manual Input'!H48)</f>
        <v/>
      </c>
      <c r="I48" s="19" t="str">
        <f>IF(B48="","",IF(COUNTIF($B$6:$B$105,B48)&gt;1,"Duplicate",""))</f>
        <v/>
      </c>
      <c r="J48" s="19" t="str">
        <f>IF(COUNTA(A48:H48)=0,"",IF(OR(A48="",D48="",E48="",F48=""),"Incomplete",IF(F48="Unresolved","Review","OK")))</f>
        <v/>
      </c>
    </row>
    <row r="49" spans="1:10" x14ac:dyDescent="0.25">
      <c r="A49" s="18" t="str">
        <f>IF('Start Here'!$B$8="Paste Import",'Paste Import'!A49,'Manual Input'!A49)</f>
        <v/>
      </c>
      <c r="B49" s="19" t="str">
        <f>IF('Start Here'!$B$8="Paste Import",'Paste Import'!B49,'Manual Input'!B49)</f>
        <v/>
      </c>
      <c r="C49" s="19" t="str">
        <f>IF('Start Here'!$B$8="Paste Import",'Paste Import'!C49,'Manual Input'!C49)</f>
        <v/>
      </c>
      <c r="D49" s="20" t="str">
        <f>IF('Start Here'!$B$8="Paste Import",'Paste Import'!D49,'Manual Input'!D49)</f>
        <v/>
      </c>
      <c r="E49" s="19" t="str">
        <f>IF('Start Here'!$B$8="Paste Import",'Paste Import'!E49,'Manual Input'!E49)</f>
        <v/>
      </c>
      <c r="F49" s="19" t="str">
        <f>IF('Start Here'!$B$8="Paste Import",'Paste Import'!F49,'Manual Input'!F49)</f>
        <v/>
      </c>
      <c r="G49" s="19" t="str">
        <f>IF('Start Here'!$B$8="Paste Import",'Paste Import'!G49,'Manual Input'!G49)</f>
        <v/>
      </c>
      <c r="H49" s="19" t="str">
        <f>IF('Start Here'!$B$8="Paste Import",'Paste Import'!H49,'Manual Input'!H49)</f>
        <v/>
      </c>
      <c r="I49" s="19" t="str">
        <f>IF(B49="","",IF(COUNTIF($B$6:$B$105,B49)&gt;1,"Duplicate",""))</f>
        <v/>
      </c>
      <c r="J49" s="19" t="str">
        <f>IF(COUNTA(A49:H49)=0,"",IF(OR(A49="",D49="",E49="",F49=""),"Incomplete",IF(F49="Unresolved","Review","OK")))</f>
        <v/>
      </c>
    </row>
    <row r="50" spans="1:10" x14ac:dyDescent="0.25">
      <c r="A50" s="18" t="str">
        <f>IF('Start Here'!$B$8="Paste Import",'Paste Import'!A50,'Manual Input'!A50)</f>
        <v/>
      </c>
      <c r="B50" s="19" t="str">
        <f>IF('Start Here'!$B$8="Paste Import",'Paste Import'!B50,'Manual Input'!B50)</f>
        <v/>
      </c>
      <c r="C50" s="19" t="str">
        <f>IF('Start Here'!$B$8="Paste Import",'Paste Import'!C50,'Manual Input'!C50)</f>
        <v/>
      </c>
      <c r="D50" s="20" t="str">
        <f>IF('Start Here'!$B$8="Paste Import",'Paste Import'!D50,'Manual Input'!D50)</f>
        <v/>
      </c>
      <c r="E50" s="19" t="str">
        <f>IF('Start Here'!$B$8="Paste Import",'Paste Import'!E50,'Manual Input'!E50)</f>
        <v/>
      </c>
      <c r="F50" s="19" t="str">
        <f>IF('Start Here'!$B$8="Paste Import",'Paste Import'!F50,'Manual Input'!F50)</f>
        <v/>
      </c>
      <c r="G50" s="19" t="str">
        <f>IF('Start Here'!$B$8="Paste Import",'Paste Import'!G50,'Manual Input'!G50)</f>
        <v/>
      </c>
      <c r="H50" s="19" t="str">
        <f>IF('Start Here'!$B$8="Paste Import",'Paste Import'!H50,'Manual Input'!H50)</f>
        <v/>
      </c>
      <c r="I50" s="19" t="str">
        <f>IF(B50="","",IF(COUNTIF($B$6:$B$105,B50)&gt;1,"Duplicate",""))</f>
        <v/>
      </c>
      <c r="J50" s="19" t="str">
        <f>IF(COUNTA(A50:H50)=0,"",IF(OR(A50="",D50="",E50="",F50=""),"Incomplete",IF(F50="Unresolved","Review","OK")))</f>
        <v/>
      </c>
    </row>
    <row r="51" spans="1:10" x14ac:dyDescent="0.25">
      <c r="A51" s="18" t="str">
        <f>IF('Start Here'!$B$8="Paste Import",'Paste Import'!A51,'Manual Input'!A51)</f>
        <v/>
      </c>
      <c r="B51" s="19" t="str">
        <f>IF('Start Here'!$B$8="Paste Import",'Paste Import'!B51,'Manual Input'!B51)</f>
        <v/>
      </c>
      <c r="C51" s="19" t="str">
        <f>IF('Start Here'!$B$8="Paste Import",'Paste Import'!C51,'Manual Input'!C51)</f>
        <v/>
      </c>
      <c r="D51" s="20" t="str">
        <f>IF('Start Here'!$B$8="Paste Import",'Paste Import'!D51,'Manual Input'!D51)</f>
        <v/>
      </c>
      <c r="E51" s="19" t="str">
        <f>IF('Start Here'!$B$8="Paste Import",'Paste Import'!E51,'Manual Input'!E51)</f>
        <v/>
      </c>
      <c r="F51" s="19" t="str">
        <f>IF('Start Here'!$B$8="Paste Import",'Paste Import'!F51,'Manual Input'!F51)</f>
        <v/>
      </c>
      <c r="G51" s="19" t="str">
        <f>IF('Start Here'!$B$8="Paste Import",'Paste Import'!G51,'Manual Input'!G51)</f>
        <v/>
      </c>
      <c r="H51" s="19" t="str">
        <f>IF('Start Here'!$B$8="Paste Import",'Paste Import'!H51,'Manual Input'!H51)</f>
        <v/>
      </c>
      <c r="I51" s="19" t="str">
        <f>IF(B51="","",IF(COUNTIF($B$6:$B$105,B51)&gt;1,"Duplicate",""))</f>
        <v/>
      </c>
      <c r="J51" s="19" t="str">
        <f>IF(COUNTA(A51:H51)=0,"",IF(OR(A51="",D51="",E51="",F51=""),"Incomplete",IF(F51="Unresolved","Review","OK")))</f>
        <v/>
      </c>
    </row>
    <row r="52" spans="1:10" x14ac:dyDescent="0.25">
      <c r="A52" s="18" t="str">
        <f>IF('Start Here'!$B$8="Paste Import",'Paste Import'!A52,'Manual Input'!A52)</f>
        <v/>
      </c>
      <c r="B52" s="19" t="str">
        <f>IF('Start Here'!$B$8="Paste Import",'Paste Import'!B52,'Manual Input'!B52)</f>
        <v/>
      </c>
      <c r="C52" s="19" t="str">
        <f>IF('Start Here'!$B$8="Paste Import",'Paste Import'!C52,'Manual Input'!C52)</f>
        <v/>
      </c>
      <c r="D52" s="20" t="str">
        <f>IF('Start Here'!$B$8="Paste Import",'Paste Import'!D52,'Manual Input'!D52)</f>
        <v/>
      </c>
      <c r="E52" s="19" t="str">
        <f>IF('Start Here'!$B$8="Paste Import",'Paste Import'!E52,'Manual Input'!E52)</f>
        <v/>
      </c>
      <c r="F52" s="19" t="str">
        <f>IF('Start Here'!$B$8="Paste Import",'Paste Import'!F52,'Manual Input'!F52)</f>
        <v/>
      </c>
      <c r="G52" s="19" t="str">
        <f>IF('Start Here'!$B$8="Paste Import",'Paste Import'!G52,'Manual Input'!G52)</f>
        <v/>
      </c>
      <c r="H52" s="19" t="str">
        <f>IF('Start Here'!$B$8="Paste Import",'Paste Import'!H52,'Manual Input'!H52)</f>
        <v/>
      </c>
      <c r="I52" s="19" t="str">
        <f>IF(B52="","",IF(COUNTIF($B$6:$B$105,B52)&gt;1,"Duplicate",""))</f>
        <v/>
      </c>
      <c r="J52" s="19" t="str">
        <f>IF(COUNTA(A52:H52)=0,"",IF(OR(A52="",D52="",E52="",F52=""),"Incomplete",IF(F52="Unresolved","Review","OK")))</f>
        <v/>
      </c>
    </row>
    <row r="53" spans="1:10" x14ac:dyDescent="0.25">
      <c r="A53" s="18" t="str">
        <f>IF('Start Here'!$B$8="Paste Import",'Paste Import'!A53,'Manual Input'!A53)</f>
        <v/>
      </c>
      <c r="B53" s="19" t="str">
        <f>IF('Start Here'!$B$8="Paste Import",'Paste Import'!B53,'Manual Input'!B53)</f>
        <v/>
      </c>
      <c r="C53" s="19" t="str">
        <f>IF('Start Here'!$B$8="Paste Import",'Paste Import'!C53,'Manual Input'!C53)</f>
        <v/>
      </c>
      <c r="D53" s="20" t="str">
        <f>IF('Start Here'!$B$8="Paste Import",'Paste Import'!D53,'Manual Input'!D53)</f>
        <v/>
      </c>
      <c r="E53" s="19" t="str">
        <f>IF('Start Here'!$B$8="Paste Import",'Paste Import'!E53,'Manual Input'!E53)</f>
        <v/>
      </c>
      <c r="F53" s="19" t="str">
        <f>IF('Start Here'!$B$8="Paste Import",'Paste Import'!F53,'Manual Input'!F53)</f>
        <v/>
      </c>
      <c r="G53" s="19" t="str">
        <f>IF('Start Here'!$B$8="Paste Import",'Paste Import'!G53,'Manual Input'!G53)</f>
        <v/>
      </c>
      <c r="H53" s="19" t="str">
        <f>IF('Start Here'!$B$8="Paste Import",'Paste Import'!H53,'Manual Input'!H53)</f>
        <v/>
      </c>
      <c r="I53" s="19" t="str">
        <f>IF(B53="","",IF(COUNTIF($B$6:$B$105,B53)&gt;1,"Duplicate",""))</f>
        <v/>
      </c>
      <c r="J53" s="19" t="str">
        <f>IF(COUNTA(A53:H53)=0,"",IF(OR(A53="",D53="",E53="",F53=""),"Incomplete",IF(F53="Unresolved","Review","OK")))</f>
        <v/>
      </c>
    </row>
    <row r="54" spans="1:10" x14ac:dyDescent="0.25">
      <c r="A54" s="18" t="str">
        <f>IF('Start Here'!$B$8="Paste Import",'Paste Import'!A54,'Manual Input'!A54)</f>
        <v/>
      </c>
      <c r="B54" s="19" t="str">
        <f>IF('Start Here'!$B$8="Paste Import",'Paste Import'!B54,'Manual Input'!B54)</f>
        <v/>
      </c>
      <c r="C54" s="19" t="str">
        <f>IF('Start Here'!$B$8="Paste Import",'Paste Import'!C54,'Manual Input'!C54)</f>
        <v/>
      </c>
      <c r="D54" s="20" t="str">
        <f>IF('Start Here'!$B$8="Paste Import",'Paste Import'!D54,'Manual Input'!D54)</f>
        <v/>
      </c>
      <c r="E54" s="19" t="str">
        <f>IF('Start Here'!$B$8="Paste Import",'Paste Import'!E54,'Manual Input'!E54)</f>
        <v/>
      </c>
      <c r="F54" s="19" t="str">
        <f>IF('Start Here'!$B$8="Paste Import",'Paste Import'!F54,'Manual Input'!F54)</f>
        <v/>
      </c>
      <c r="G54" s="19" t="str">
        <f>IF('Start Here'!$B$8="Paste Import",'Paste Import'!G54,'Manual Input'!G54)</f>
        <v/>
      </c>
      <c r="H54" s="19" t="str">
        <f>IF('Start Here'!$B$8="Paste Import",'Paste Import'!H54,'Manual Input'!H54)</f>
        <v/>
      </c>
      <c r="I54" s="19" t="str">
        <f>IF(B54="","",IF(COUNTIF($B$6:$B$105,B54)&gt;1,"Duplicate",""))</f>
        <v/>
      </c>
      <c r="J54" s="19" t="str">
        <f>IF(COUNTA(A54:H54)=0,"",IF(OR(A54="",D54="",E54="",F54=""),"Incomplete",IF(F54="Unresolved","Review","OK")))</f>
        <v/>
      </c>
    </row>
    <row r="55" spans="1:10" x14ac:dyDescent="0.25">
      <c r="A55" s="18" t="str">
        <f>IF('Start Here'!$B$8="Paste Import",'Paste Import'!A55,'Manual Input'!A55)</f>
        <v/>
      </c>
      <c r="B55" s="19" t="str">
        <f>IF('Start Here'!$B$8="Paste Import",'Paste Import'!B55,'Manual Input'!B55)</f>
        <v/>
      </c>
      <c r="C55" s="19" t="str">
        <f>IF('Start Here'!$B$8="Paste Import",'Paste Import'!C55,'Manual Input'!C55)</f>
        <v/>
      </c>
      <c r="D55" s="20" t="str">
        <f>IF('Start Here'!$B$8="Paste Import",'Paste Import'!D55,'Manual Input'!D55)</f>
        <v/>
      </c>
      <c r="E55" s="19" t="str">
        <f>IF('Start Here'!$B$8="Paste Import",'Paste Import'!E55,'Manual Input'!E55)</f>
        <v/>
      </c>
      <c r="F55" s="19" t="str">
        <f>IF('Start Here'!$B$8="Paste Import",'Paste Import'!F55,'Manual Input'!F55)</f>
        <v/>
      </c>
      <c r="G55" s="19" t="str">
        <f>IF('Start Here'!$B$8="Paste Import",'Paste Import'!G55,'Manual Input'!G55)</f>
        <v/>
      </c>
      <c r="H55" s="19" t="str">
        <f>IF('Start Here'!$B$8="Paste Import",'Paste Import'!H55,'Manual Input'!H55)</f>
        <v/>
      </c>
      <c r="I55" s="19" t="str">
        <f>IF(B55="","",IF(COUNTIF($B$6:$B$105,B55)&gt;1,"Duplicate",""))</f>
        <v/>
      </c>
      <c r="J55" s="19" t="str">
        <f>IF(COUNTA(A55:H55)=0,"",IF(OR(A55="",D55="",E55="",F55=""),"Incomplete",IF(F55="Unresolved","Review","OK")))</f>
        <v/>
      </c>
    </row>
    <row r="56" spans="1:10" x14ac:dyDescent="0.25">
      <c r="A56" s="18" t="str">
        <f>IF('Start Here'!$B$8="Paste Import",'Paste Import'!A56,'Manual Input'!A56)</f>
        <v/>
      </c>
      <c r="B56" s="19" t="str">
        <f>IF('Start Here'!$B$8="Paste Import",'Paste Import'!B56,'Manual Input'!B56)</f>
        <v/>
      </c>
      <c r="C56" s="19" t="str">
        <f>IF('Start Here'!$B$8="Paste Import",'Paste Import'!C56,'Manual Input'!C56)</f>
        <v/>
      </c>
      <c r="D56" s="20" t="str">
        <f>IF('Start Here'!$B$8="Paste Import",'Paste Import'!D56,'Manual Input'!D56)</f>
        <v/>
      </c>
      <c r="E56" s="19" t="str">
        <f>IF('Start Here'!$B$8="Paste Import",'Paste Import'!E56,'Manual Input'!E56)</f>
        <v/>
      </c>
      <c r="F56" s="19" t="str">
        <f>IF('Start Here'!$B$8="Paste Import",'Paste Import'!F56,'Manual Input'!F56)</f>
        <v/>
      </c>
      <c r="G56" s="19" t="str">
        <f>IF('Start Here'!$B$8="Paste Import",'Paste Import'!G56,'Manual Input'!G56)</f>
        <v/>
      </c>
      <c r="H56" s="19" t="str">
        <f>IF('Start Here'!$B$8="Paste Import",'Paste Import'!H56,'Manual Input'!H56)</f>
        <v/>
      </c>
      <c r="I56" s="19" t="str">
        <f>IF(B56="","",IF(COUNTIF($B$6:$B$105,B56)&gt;1,"Duplicate",""))</f>
        <v/>
      </c>
      <c r="J56" s="19" t="str">
        <f>IF(COUNTA(A56:H56)=0,"",IF(OR(A56="",D56="",E56="",F56=""),"Incomplete",IF(F56="Unresolved","Review","OK")))</f>
        <v/>
      </c>
    </row>
    <row r="57" spans="1:10" x14ac:dyDescent="0.25">
      <c r="A57" s="18" t="str">
        <f>IF('Start Here'!$B$8="Paste Import",'Paste Import'!A57,'Manual Input'!A57)</f>
        <v/>
      </c>
      <c r="B57" s="19" t="str">
        <f>IF('Start Here'!$B$8="Paste Import",'Paste Import'!B57,'Manual Input'!B57)</f>
        <v/>
      </c>
      <c r="C57" s="19" t="str">
        <f>IF('Start Here'!$B$8="Paste Import",'Paste Import'!C57,'Manual Input'!C57)</f>
        <v/>
      </c>
      <c r="D57" s="20" t="str">
        <f>IF('Start Here'!$B$8="Paste Import",'Paste Import'!D57,'Manual Input'!D57)</f>
        <v/>
      </c>
      <c r="E57" s="19" t="str">
        <f>IF('Start Here'!$B$8="Paste Import",'Paste Import'!E57,'Manual Input'!E57)</f>
        <v/>
      </c>
      <c r="F57" s="19" t="str">
        <f>IF('Start Here'!$B$8="Paste Import",'Paste Import'!F57,'Manual Input'!F57)</f>
        <v/>
      </c>
      <c r="G57" s="19" t="str">
        <f>IF('Start Here'!$B$8="Paste Import",'Paste Import'!G57,'Manual Input'!G57)</f>
        <v/>
      </c>
      <c r="H57" s="19" t="str">
        <f>IF('Start Here'!$B$8="Paste Import",'Paste Import'!H57,'Manual Input'!H57)</f>
        <v/>
      </c>
      <c r="I57" s="19" t="str">
        <f>IF(B57="","",IF(COUNTIF($B$6:$B$105,B57)&gt;1,"Duplicate",""))</f>
        <v/>
      </c>
      <c r="J57" s="19" t="str">
        <f>IF(COUNTA(A57:H57)=0,"",IF(OR(A57="",D57="",E57="",F57=""),"Incomplete",IF(F57="Unresolved","Review","OK")))</f>
        <v/>
      </c>
    </row>
    <row r="58" spans="1:10" x14ac:dyDescent="0.25">
      <c r="A58" s="18" t="str">
        <f>IF('Start Here'!$B$8="Paste Import",'Paste Import'!A58,'Manual Input'!A58)</f>
        <v/>
      </c>
      <c r="B58" s="19" t="str">
        <f>IF('Start Here'!$B$8="Paste Import",'Paste Import'!B58,'Manual Input'!B58)</f>
        <v/>
      </c>
      <c r="C58" s="19" t="str">
        <f>IF('Start Here'!$B$8="Paste Import",'Paste Import'!C58,'Manual Input'!C58)</f>
        <v/>
      </c>
      <c r="D58" s="20" t="str">
        <f>IF('Start Here'!$B$8="Paste Import",'Paste Import'!D58,'Manual Input'!D58)</f>
        <v/>
      </c>
      <c r="E58" s="19" t="str">
        <f>IF('Start Here'!$B$8="Paste Import",'Paste Import'!E58,'Manual Input'!E58)</f>
        <v/>
      </c>
      <c r="F58" s="19" t="str">
        <f>IF('Start Here'!$B$8="Paste Import",'Paste Import'!F58,'Manual Input'!F58)</f>
        <v/>
      </c>
      <c r="G58" s="19" t="str">
        <f>IF('Start Here'!$B$8="Paste Import",'Paste Import'!G58,'Manual Input'!G58)</f>
        <v/>
      </c>
      <c r="H58" s="19" t="str">
        <f>IF('Start Here'!$B$8="Paste Import",'Paste Import'!H58,'Manual Input'!H58)</f>
        <v/>
      </c>
      <c r="I58" s="19" t="str">
        <f>IF(B58="","",IF(COUNTIF($B$6:$B$105,B58)&gt;1,"Duplicate",""))</f>
        <v/>
      </c>
      <c r="J58" s="19" t="str">
        <f>IF(COUNTA(A58:H58)=0,"",IF(OR(A58="",D58="",E58="",F58=""),"Incomplete",IF(F58="Unresolved","Review","OK")))</f>
        <v/>
      </c>
    </row>
    <row r="59" spans="1:10" x14ac:dyDescent="0.25">
      <c r="A59" s="18" t="str">
        <f>IF('Start Here'!$B$8="Paste Import",'Paste Import'!A59,'Manual Input'!A59)</f>
        <v/>
      </c>
      <c r="B59" s="19" t="str">
        <f>IF('Start Here'!$B$8="Paste Import",'Paste Import'!B59,'Manual Input'!B59)</f>
        <v/>
      </c>
      <c r="C59" s="19" t="str">
        <f>IF('Start Here'!$B$8="Paste Import",'Paste Import'!C59,'Manual Input'!C59)</f>
        <v/>
      </c>
      <c r="D59" s="20" t="str">
        <f>IF('Start Here'!$B$8="Paste Import",'Paste Import'!D59,'Manual Input'!D59)</f>
        <v/>
      </c>
      <c r="E59" s="19" t="str">
        <f>IF('Start Here'!$B$8="Paste Import",'Paste Import'!E59,'Manual Input'!E59)</f>
        <v/>
      </c>
      <c r="F59" s="19" t="str">
        <f>IF('Start Here'!$B$8="Paste Import",'Paste Import'!F59,'Manual Input'!F59)</f>
        <v/>
      </c>
      <c r="G59" s="19" t="str">
        <f>IF('Start Here'!$B$8="Paste Import",'Paste Import'!G59,'Manual Input'!G59)</f>
        <v/>
      </c>
      <c r="H59" s="19" t="str">
        <f>IF('Start Here'!$B$8="Paste Import",'Paste Import'!H59,'Manual Input'!H59)</f>
        <v/>
      </c>
      <c r="I59" s="19" t="str">
        <f>IF(B59="","",IF(COUNTIF($B$6:$B$105,B59)&gt;1,"Duplicate",""))</f>
        <v/>
      </c>
      <c r="J59" s="19" t="str">
        <f>IF(COUNTA(A59:H59)=0,"",IF(OR(A59="",D59="",E59="",F59=""),"Incomplete",IF(F59="Unresolved","Review","OK")))</f>
        <v/>
      </c>
    </row>
    <row r="60" spans="1:10" x14ac:dyDescent="0.25">
      <c r="A60" s="18" t="str">
        <f>IF('Start Here'!$B$8="Paste Import",'Paste Import'!A60,'Manual Input'!A60)</f>
        <v/>
      </c>
      <c r="B60" s="19" t="str">
        <f>IF('Start Here'!$B$8="Paste Import",'Paste Import'!B60,'Manual Input'!B60)</f>
        <v/>
      </c>
      <c r="C60" s="19" t="str">
        <f>IF('Start Here'!$B$8="Paste Import",'Paste Import'!C60,'Manual Input'!C60)</f>
        <v/>
      </c>
      <c r="D60" s="20" t="str">
        <f>IF('Start Here'!$B$8="Paste Import",'Paste Import'!D60,'Manual Input'!D60)</f>
        <v/>
      </c>
      <c r="E60" s="19" t="str">
        <f>IF('Start Here'!$B$8="Paste Import",'Paste Import'!E60,'Manual Input'!E60)</f>
        <v/>
      </c>
      <c r="F60" s="19" t="str">
        <f>IF('Start Here'!$B$8="Paste Import",'Paste Import'!F60,'Manual Input'!F60)</f>
        <v/>
      </c>
      <c r="G60" s="19" t="str">
        <f>IF('Start Here'!$B$8="Paste Import",'Paste Import'!G60,'Manual Input'!G60)</f>
        <v/>
      </c>
      <c r="H60" s="19" t="str">
        <f>IF('Start Here'!$B$8="Paste Import",'Paste Import'!H60,'Manual Input'!H60)</f>
        <v/>
      </c>
      <c r="I60" s="19" t="str">
        <f>IF(B60="","",IF(COUNTIF($B$6:$B$105,B60)&gt;1,"Duplicate",""))</f>
        <v/>
      </c>
      <c r="J60" s="19" t="str">
        <f>IF(COUNTA(A60:H60)=0,"",IF(OR(A60="",D60="",E60="",F60=""),"Incomplete",IF(F60="Unresolved","Review","OK")))</f>
        <v/>
      </c>
    </row>
    <row r="61" spans="1:10" x14ac:dyDescent="0.25">
      <c r="A61" s="18" t="str">
        <f>IF('Start Here'!$B$8="Paste Import",'Paste Import'!A61,'Manual Input'!A61)</f>
        <v/>
      </c>
      <c r="B61" s="19" t="str">
        <f>IF('Start Here'!$B$8="Paste Import",'Paste Import'!B61,'Manual Input'!B61)</f>
        <v/>
      </c>
      <c r="C61" s="19" t="str">
        <f>IF('Start Here'!$B$8="Paste Import",'Paste Import'!C61,'Manual Input'!C61)</f>
        <v/>
      </c>
      <c r="D61" s="20" t="str">
        <f>IF('Start Here'!$B$8="Paste Import",'Paste Import'!D61,'Manual Input'!D61)</f>
        <v/>
      </c>
      <c r="E61" s="19" t="str">
        <f>IF('Start Here'!$B$8="Paste Import",'Paste Import'!E61,'Manual Input'!E61)</f>
        <v/>
      </c>
      <c r="F61" s="19" t="str">
        <f>IF('Start Here'!$B$8="Paste Import",'Paste Import'!F61,'Manual Input'!F61)</f>
        <v/>
      </c>
      <c r="G61" s="19" t="str">
        <f>IF('Start Here'!$B$8="Paste Import",'Paste Import'!G61,'Manual Input'!G61)</f>
        <v/>
      </c>
      <c r="H61" s="19" t="str">
        <f>IF('Start Here'!$B$8="Paste Import",'Paste Import'!H61,'Manual Input'!H61)</f>
        <v/>
      </c>
      <c r="I61" s="19" t="str">
        <f>IF(B61="","",IF(COUNTIF($B$6:$B$105,B61)&gt;1,"Duplicate",""))</f>
        <v/>
      </c>
      <c r="J61" s="19" t="str">
        <f>IF(COUNTA(A61:H61)=0,"",IF(OR(A61="",D61="",E61="",F61=""),"Incomplete",IF(F61="Unresolved","Review","OK")))</f>
        <v/>
      </c>
    </row>
    <row r="62" spans="1:10" x14ac:dyDescent="0.25">
      <c r="A62" s="18" t="str">
        <f>IF('Start Here'!$B$8="Paste Import",'Paste Import'!A62,'Manual Input'!A62)</f>
        <v/>
      </c>
      <c r="B62" s="19" t="str">
        <f>IF('Start Here'!$B$8="Paste Import",'Paste Import'!B62,'Manual Input'!B62)</f>
        <v/>
      </c>
      <c r="C62" s="19" t="str">
        <f>IF('Start Here'!$B$8="Paste Import",'Paste Import'!C62,'Manual Input'!C62)</f>
        <v/>
      </c>
      <c r="D62" s="20" t="str">
        <f>IF('Start Here'!$B$8="Paste Import",'Paste Import'!D62,'Manual Input'!D62)</f>
        <v/>
      </c>
      <c r="E62" s="19" t="str">
        <f>IF('Start Here'!$B$8="Paste Import",'Paste Import'!E62,'Manual Input'!E62)</f>
        <v/>
      </c>
      <c r="F62" s="19" t="str">
        <f>IF('Start Here'!$B$8="Paste Import",'Paste Import'!F62,'Manual Input'!F62)</f>
        <v/>
      </c>
      <c r="G62" s="19" t="str">
        <f>IF('Start Here'!$B$8="Paste Import",'Paste Import'!G62,'Manual Input'!G62)</f>
        <v/>
      </c>
      <c r="H62" s="19" t="str">
        <f>IF('Start Here'!$B$8="Paste Import",'Paste Import'!H62,'Manual Input'!H62)</f>
        <v/>
      </c>
      <c r="I62" s="19" t="str">
        <f>IF(B62="","",IF(COUNTIF($B$6:$B$105,B62)&gt;1,"Duplicate",""))</f>
        <v/>
      </c>
      <c r="J62" s="19" t="str">
        <f>IF(COUNTA(A62:H62)=0,"",IF(OR(A62="",D62="",E62="",F62=""),"Incomplete",IF(F62="Unresolved","Review","OK")))</f>
        <v/>
      </c>
    </row>
    <row r="63" spans="1:10" x14ac:dyDescent="0.25">
      <c r="A63" s="18" t="str">
        <f>IF('Start Here'!$B$8="Paste Import",'Paste Import'!A63,'Manual Input'!A63)</f>
        <v/>
      </c>
      <c r="B63" s="19" t="str">
        <f>IF('Start Here'!$B$8="Paste Import",'Paste Import'!B63,'Manual Input'!B63)</f>
        <v/>
      </c>
      <c r="C63" s="19" t="str">
        <f>IF('Start Here'!$B$8="Paste Import",'Paste Import'!C63,'Manual Input'!C63)</f>
        <v/>
      </c>
      <c r="D63" s="20" t="str">
        <f>IF('Start Here'!$B$8="Paste Import",'Paste Import'!D63,'Manual Input'!D63)</f>
        <v/>
      </c>
      <c r="E63" s="19" t="str">
        <f>IF('Start Here'!$B$8="Paste Import",'Paste Import'!E63,'Manual Input'!E63)</f>
        <v/>
      </c>
      <c r="F63" s="19" t="str">
        <f>IF('Start Here'!$B$8="Paste Import",'Paste Import'!F63,'Manual Input'!F63)</f>
        <v/>
      </c>
      <c r="G63" s="19" t="str">
        <f>IF('Start Here'!$B$8="Paste Import",'Paste Import'!G63,'Manual Input'!G63)</f>
        <v/>
      </c>
      <c r="H63" s="19" t="str">
        <f>IF('Start Here'!$B$8="Paste Import",'Paste Import'!H63,'Manual Input'!H63)</f>
        <v/>
      </c>
      <c r="I63" s="19" t="str">
        <f>IF(B63="","",IF(COUNTIF($B$6:$B$105,B63)&gt;1,"Duplicate",""))</f>
        <v/>
      </c>
      <c r="J63" s="19" t="str">
        <f>IF(COUNTA(A63:H63)=0,"",IF(OR(A63="",D63="",E63="",F63=""),"Incomplete",IF(F63="Unresolved","Review","OK")))</f>
        <v/>
      </c>
    </row>
    <row r="64" spans="1:10" x14ac:dyDescent="0.25">
      <c r="A64" s="18" t="str">
        <f>IF('Start Here'!$B$8="Paste Import",'Paste Import'!A64,'Manual Input'!A64)</f>
        <v/>
      </c>
      <c r="B64" s="19" t="str">
        <f>IF('Start Here'!$B$8="Paste Import",'Paste Import'!B64,'Manual Input'!B64)</f>
        <v/>
      </c>
      <c r="C64" s="19" t="str">
        <f>IF('Start Here'!$B$8="Paste Import",'Paste Import'!C64,'Manual Input'!C64)</f>
        <v/>
      </c>
      <c r="D64" s="20" t="str">
        <f>IF('Start Here'!$B$8="Paste Import",'Paste Import'!D64,'Manual Input'!D64)</f>
        <v/>
      </c>
      <c r="E64" s="19" t="str">
        <f>IF('Start Here'!$B$8="Paste Import",'Paste Import'!E64,'Manual Input'!E64)</f>
        <v/>
      </c>
      <c r="F64" s="19" t="str">
        <f>IF('Start Here'!$B$8="Paste Import",'Paste Import'!F64,'Manual Input'!F64)</f>
        <v/>
      </c>
      <c r="G64" s="19" t="str">
        <f>IF('Start Here'!$B$8="Paste Import",'Paste Import'!G64,'Manual Input'!G64)</f>
        <v/>
      </c>
      <c r="H64" s="19" t="str">
        <f>IF('Start Here'!$B$8="Paste Import",'Paste Import'!H64,'Manual Input'!H64)</f>
        <v/>
      </c>
      <c r="I64" s="19" t="str">
        <f>IF(B64="","",IF(COUNTIF($B$6:$B$105,B64)&gt;1,"Duplicate",""))</f>
        <v/>
      </c>
      <c r="J64" s="19" t="str">
        <f>IF(COUNTA(A64:H64)=0,"",IF(OR(A64="",D64="",E64="",F64=""),"Incomplete",IF(F64="Unresolved","Review","OK")))</f>
        <v/>
      </c>
    </row>
    <row r="65" spans="1:10" x14ac:dyDescent="0.25">
      <c r="A65" s="18" t="str">
        <f>IF('Start Here'!$B$8="Paste Import",'Paste Import'!A65,'Manual Input'!A65)</f>
        <v/>
      </c>
      <c r="B65" s="19" t="str">
        <f>IF('Start Here'!$B$8="Paste Import",'Paste Import'!B65,'Manual Input'!B65)</f>
        <v/>
      </c>
      <c r="C65" s="19" t="str">
        <f>IF('Start Here'!$B$8="Paste Import",'Paste Import'!C65,'Manual Input'!C65)</f>
        <v/>
      </c>
      <c r="D65" s="20" t="str">
        <f>IF('Start Here'!$B$8="Paste Import",'Paste Import'!D65,'Manual Input'!D65)</f>
        <v/>
      </c>
      <c r="E65" s="19" t="str">
        <f>IF('Start Here'!$B$8="Paste Import",'Paste Import'!E65,'Manual Input'!E65)</f>
        <v/>
      </c>
      <c r="F65" s="19" t="str">
        <f>IF('Start Here'!$B$8="Paste Import",'Paste Import'!F65,'Manual Input'!F65)</f>
        <v/>
      </c>
      <c r="G65" s="19" t="str">
        <f>IF('Start Here'!$B$8="Paste Import",'Paste Import'!G65,'Manual Input'!G65)</f>
        <v/>
      </c>
      <c r="H65" s="19" t="str">
        <f>IF('Start Here'!$B$8="Paste Import",'Paste Import'!H65,'Manual Input'!H65)</f>
        <v/>
      </c>
      <c r="I65" s="19" t="str">
        <f>IF(B65="","",IF(COUNTIF($B$6:$B$105,B65)&gt;1,"Duplicate",""))</f>
        <v/>
      </c>
      <c r="J65" s="19" t="str">
        <f>IF(COUNTA(A65:H65)=0,"",IF(OR(A65="",D65="",E65="",F65=""),"Incomplete",IF(F65="Unresolved","Review","OK")))</f>
        <v/>
      </c>
    </row>
    <row r="66" spans="1:10" x14ac:dyDescent="0.25">
      <c r="A66" s="18" t="str">
        <f>IF('Start Here'!$B$8="Paste Import",'Paste Import'!A66,'Manual Input'!A66)</f>
        <v/>
      </c>
      <c r="B66" s="19" t="str">
        <f>IF('Start Here'!$B$8="Paste Import",'Paste Import'!B66,'Manual Input'!B66)</f>
        <v/>
      </c>
      <c r="C66" s="19" t="str">
        <f>IF('Start Here'!$B$8="Paste Import",'Paste Import'!C66,'Manual Input'!C66)</f>
        <v/>
      </c>
      <c r="D66" s="20" t="str">
        <f>IF('Start Here'!$B$8="Paste Import",'Paste Import'!D66,'Manual Input'!D66)</f>
        <v/>
      </c>
      <c r="E66" s="19" t="str">
        <f>IF('Start Here'!$B$8="Paste Import",'Paste Import'!E66,'Manual Input'!E66)</f>
        <v/>
      </c>
      <c r="F66" s="19" t="str">
        <f>IF('Start Here'!$B$8="Paste Import",'Paste Import'!F66,'Manual Input'!F66)</f>
        <v/>
      </c>
      <c r="G66" s="19" t="str">
        <f>IF('Start Here'!$B$8="Paste Import",'Paste Import'!G66,'Manual Input'!G66)</f>
        <v/>
      </c>
      <c r="H66" s="19" t="str">
        <f>IF('Start Here'!$B$8="Paste Import",'Paste Import'!H66,'Manual Input'!H66)</f>
        <v/>
      </c>
      <c r="I66" s="19" t="str">
        <f>IF(B66="","",IF(COUNTIF($B$6:$B$105,B66)&gt;1,"Duplicate",""))</f>
        <v/>
      </c>
      <c r="J66" s="19" t="str">
        <f>IF(COUNTA(A66:H66)=0,"",IF(OR(A66="",D66="",E66="",F66=""),"Incomplete",IF(F66="Unresolved","Review","OK")))</f>
        <v/>
      </c>
    </row>
    <row r="67" spans="1:10" x14ac:dyDescent="0.25">
      <c r="A67" s="18" t="str">
        <f>IF('Start Here'!$B$8="Paste Import",'Paste Import'!A67,'Manual Input'!A67)</f>
        <v/>
      </c>
      <c r="B67" s="19" t="str">
        <f>IF('Start Here'!$B$8="Paste Import",'Paste Import'!B67,'Manual Input'!B67)</f>
        <v/>
      </c>
      <c r="C67" s="19" t="str">
        <f>IF('Start Here'!$B$8="Paste Import",'Paste Import'!C67,'Manual Input'!C67)</f>
        <v/>
      </c>
      <c r="D67" s="20" t="str">
        <f>IF('Start Here'!$B$8="Paste Import",'Paste Import'!D67,'Manual Input'!D67)</f>
        <v/>
      </c>
      <c r="E67" s="19" t="str">
        <f>IF('Start Here'!$B$8="Paste Import",'Paste Import'!E67,'Manual Input'!E67)</f>
        <v/>
      </c>
      <c r="F67" s="19" t="str">
        <f>IF('Start Here'!$B$8="Paste Import",'Paste Import'!F67,'Manual Input'!F67)</f>
        <v/>
      </c>
      <c r="G67" s="19" t="str">
        <f>IF('Start Here'!$B$8="Paste Import",'Paste Import'!G67,'Manual Input'!G67)</f>
        <v/>
      </c>
      <c r="H67" s="19" t="str">
        <f>IF('Start Here'!$B$8="Paste Import",'Paste Import'!H67,'Manual Input'!H67)</f>
        <v/>
      </c>
      <c r="I67" s="19" t="str">
        <f>IF(B67="","",IF(COUNTIF($B$6:$B$105,B67)&gt;1,"Duplicate",""))</f>
        <v/>
      </c>
      <c r="J67" s="19" t="str">
        <f>IF(COUNTA(A67:H67)=0,"",IF(OR(A67="",D67="",E67="",F67=""),"Incomplete",IF(F67="Unresolved","Review","OK")))</f>
        <v/>
      </c>
    </row>
    <row r="68" spans="1:10" x14ac:dyDescent="0.25">
      <c r="A68" s="18" t="str">
        <f>IF('Start Here'!$B$8="Paste Import",'Paste Import'!A68,'Manual Input'!A68)</f>
        <v/>
      </c>
      <c r="B68" s="19" t="str">
        <f>IF('Start Here'!$B$8="Paste Import",'Paste Import'!B68,'Manual Input'!B68)</f>
        <v/>
      </c>
      <c r="C68" s="19" t="str">
        <f>IF('Start Here'!$B$8="Paste Import",'Paste Import'!C68,'Manual Input'!C68)</f>
        <v/>
      </c>
      <c r="D68" s="20" t="str">
        <f>IF('Start Here'!$B$8="Paste Import",'Paste Import'!D68,'Manual Input'!D68)</f>
        <v/>
      </c>
      <c r="E68" s="19" t="str">
        <f>IF('Start Here'!$B$8="Paste Import",'Paste Import'!E68,'Manual Input'!E68)</f>
        <v/>
      </c>
      <c r="F68" s="19" t="str">
        <f>IF('Start Here'!$B$8="Paste Import",'Paste Import'!F68,'Manual Input'!F68)</f>
        <v/>
      </c>
      <c r="G68" s="19" t="str">
        <f>IF('Start Here'!$B$8="Paste Import",'Paste Import'!G68,'Manual Input'!G68)</f>
        <v/>
      </c>
      <c r="H68" s="19" t="str">
        <f>IF('Start Here'!$B$8="Paste Import",'Paste Import'!H68,'Manual Input'!H68)</f>
        <v/>
      </c>
      <c r="I68" s="19" t="str">
        <f>IF(B68="","",IF(COUNTIF($B$6:$B$105,B68)&gt;1,"Duplicate",""))</f>
        <v/>
      </c>
      <c r="J68" s="19" t="str">
        <f>IF(COUNTA(A68:H68)=0,"",IF(OR(A68="",D68="",E68="",F68=""),"Incomplete",IF(F68="Unresolved","Review","OK")))</f>
        <v/>
      </c>
    </row>
    <row r="69" spans="1:10" x14ac:dyDescent="0.25">
      <c r="A69" s="18" t="str">
        <f>IF('Start Here'!$B$8="Paste Import",'Paste Import'!A69,'Manual Input'!A69)</f>
        <v/>
      </c>
      <c r="B69" s="19" t="str">
        <f>IF('Start Here'!$B$8="Paste Import",'Paste Import'!B69,'Manual Input'!B69)</f>
        <v/>
      </c>
      <c r="C69" s="19" t="str">
        <f>IF('Start Here'!$B$8="Paste Import",'Paste Import'!C69,'Manual Input'!C69)</f>
        <v/>
      </c>
      <c r="D69" s="20" t="str">
        <f>IF('Start Here'!$B$8="Paste Import",'Paste Import'!D69,'Manual Input'!D69)</f>
        <v/>
      </c>
      <c r="E69" s="19" t="str">
        <f>IF('Start Here'!$B$8="Paste Import",'Paste Import'!E69,'Manual Input'!E69)</f>
        <v/>
      </c>
      <c r="F69" s="19" t="str">
        <f>IF('Start Here'!$B$8="Paste Import",'Paste Import'!F69,'Manual Input'!F69)</f>
        <v/>
      </c>
      <c r="G69" s="19" t="str">
        <f>IF('Start Here'!$B$8="Paste Import",'Paste Import'!G69,'Manual Input'!G69)</f>
        <v/>
      </c>
      <c r="H69" s="19" t="str">
        <f>IF('Start Here'!$B$8="Paste Import",'Paste Import'!H69,'Manual Input'!H69)</f>
        <v/>
      </c>
      <c r="I69" s="19" t="str">
        <f>IF(B69="","",IF(COUNTIF($B$6:$B$105,B69)&gt;1,"Duplicate",""))</f>
        <v/>
      </c>
      <c r="J69" s="19" t="str">
        <f>IF(COUNTA(A69:H69)=0,"",IF(OR(A69="",D69="",E69="",F69=""),"Incomplete",IF(F69="Unresolved","Review","OK")))</f>
        <v/>
      </c>
    </row>
    <row r="70" spans="1:10" x14ac:dyDescent="0.25">
      <c r="A70" s="18" t="str">
        <f>IF('Start Here'!$B$8="Paste Import",'Paste Import'!A70,'Manual Input'!A70)</f>
        <v/>
      </c>
      <c r="B70" s="19" t="str">
        <f>IF('Start Here'!$B$8="Paste Import",'Paste Import'!B70,'Manual Input'!B70)</f>
        <v/>
      </c>
      <c r="C70" s="19" t="str">
        <f>IF('Start Here'!$B$8="Paste Import",'Paste Import'!C70,'Manual Input'!C70)</f>
        <v/>
      </c>
      <c r="D70" s="20" t="str">
        <f>IF('Start Here'!$B$8="Paste Import",'Paste Import'!D70,'Manual Input'!D70)</f>
        <v/>
      </c>
      <c r="E70" s="19" t="str">
        <f>IF('Start Here'!$B$8="Paste Import",'Paste Import'!E70,'Manual Input'!E70)</f>
        <v/>
      </c>
      <c r="F70" s="19" t="str">
        <f>IF('Start Here'!$B$8="Paste Import",'Paste Import'!F70,'Manual Input'!F70)</f>
        <v/>
      </c>
      <c r="G70" s="19" t="str">
        <f>IF('Start Here'!$B$8="Paste Import",'Paste Import'!G70,'Manual Input'!G70)</f>
        <v/>
      </c>
      <c r="H70" s="19" t="str">
        <f>IF('Start Here'!$B$8="Paste Import",'Paste Import'!H70,'Manual Input'!H70)</f>
        <v/>
      </c>
      <c r="I70" s="19" t="str">
        <f>IF(B70="","",IF(COUNTIF($B$6:$B$105,B70)&gt;1,"Duplicate",""))</f>
        <v/>
      </c>
      <c r="J70" s="19" t="str">
        <f>IF(COUNTA(A70:H70)=0,"",IF(OR(A70="",D70="",E70="",F70=""),"Incomplete",IF(F70="Unresolved","Review","OK")))</f>
        <v/>
      </c>
    </row>
    <row r="71" spans="1:10" x14ac:dyDescent="0.25">
      <c r="A71" s="18" t="str">
        <f>IF('Start Here'!$B$8="Paste Import",'Paste Import'!A71,'Manual Input'!A71)</f>
        <v/>
      </c>
      <c r="B71" s="19" t="str">
        <f>IF('Start Here'!$B$8="Paste Import",'Paste Import'!B71,'Manual Input'!B71)</f>
        <v/>
      </c>
      <c r="C71" s="19" t="str">
        <f>IF('Start Here'!$B$8="Paste Import",'Paste Import'!C71,'Manual Input'!C71)</f>
        <v/>
      </c>
      <c r="D71" s="20" t="str">
        <f>IF('Start Here'!$B$8="Paste Import",'Paste Import'!D71,'Manual Input'!D71)</f>
        <v/>
      </c>
      <c r="E71" s="19" t="str">
        <f>IF('Start Here'!$B$8="Paste Import",'Paste Import'!E71,'Manual Input'!E71)</f>
        <v/>
      </c>
      <c r="F71" s="19" t="str">
        <f>IF('Start Here'!$B$8="Paste Import",'Paste Import'!F71,'Manual Input'!F71)</f>
        <v/>
      </c>
      <c r="G71" s="19" t="str">
        <f>IF('Start Here'!$B$8="Paste Import",'Paste Import'!G71,'Manual Input'!G71)</f>
        <v/>
      </c>
      <c r="H71" s="19" t="str">
        <f>IF('Start Here'!$B$8="Paste Import",'Paste Import'!H71,'Manual Input'!H71)</f>
        <v/>
      </c>
      <c r="I71" s="19" t="str">
        <f>IF(B71="","",IF(COUNTIF($B$6:$B$105,B71)&gt;1,"Duplicate",""))</f>
        <v/>
      </c>
      <c r="J71" s="19" t="str">
        <f>IF(COUNTA(A71:H71)=0,"",IF(OR(A71="",D71="",E71="",F71=""),"Incomplete",IF(F71="Unresolved","Review","OK")))</f>
        <v/>
      </c>
    </row>
    <row r="72" spans="1:10" x14ac:dyDescent="0.25">
      <c r="A72" s="18" t="str">
        <f>IF('Start Here'!$B$8="Paste Import",'Paste Import'!A72,'Manual Input'!A72)</f>
        <v/>
      </c>
      <c r="B72" s="19" t="str">
        <f>IF('Start Here'!$B$8="Paste Import",'Paste Import'!B72,'Manual Input'!B72)</f>
        <v/>
      </c>
      <c r="C72" s="19" t="str">
        <f>IF('Start Here'!$B$8="Paste Import",'Paste Import'!C72,'Manual Input'!C72)</f>
        <v/>
      </c>
      <c r="D72" s="20" t="str">
        <f>IF('Start Here'!$B$8="Paste Import",'Paste Import'!D72,'Manual Input'!D72)</f>
        <v/>
      </c>
      <c r="E72" s="19" t="str">
        <f>IF('Start Here'!$B$8="Paste Import",'Paste Import'!E72,'Manual Input'!E72)</f>
        <v/>
      </c>
      <c r="F72" s="19" t="str">
        <f>IF('Start Here'!$B$8="Paste Import",'Paste Import'!F72,'Manual Input'!F72)</f>
        <v/>
      </c>
      <c r="G72" s="19" t="str">
        <f>IF('Start Here'!$B$8="Paste Import",'Paste Import'!G72,'Manual Input'!G72)</f>
        <v/>
      </c>
      <c r="H72" s="19" t="str">
        <f>IF('Start Here'!$B$8="Paste Import",'Paste Import'!H72,'Manual Input'!H72)</f>
        <v/>
      </c>
      <c r="I72" s="19" t="str">
        <f>IF(B72="","",IF(COUNTIF($B$6:$B$105,B72)&gt;1,"Duplicate",""))</f>
        <v/>
      </c>
      <c r="J72" s="19" t="str">
        <f>IF(COUNTA(A72:H72)=0,"",IF(OR(A72="",D72="",E72="",F72=""),"Incomplete",IF(F72="Unresolved","Review","OK")))</f>
        <v/>
      </c>
    </row>
    <row r="73" spans="1:10" x14ac:dyDescent="0.25">
      <c r="A73" s="18" t="str">
        <f>IF('Start Here'!$B$8="Paste Import",'Paste Import'!A73,'Manual Input'!A73)</f>
        <v/>
      </c>
      <c r="B73" s="19" t="str">
        <f>IF('Start Here'!$B$8="Paste Import",'Paste Import'!B73,'Manual Input'!B73)</f>
        <v/>
      </c>
      <c r="C73" s="19" t="str">
        <f>IF('Start Here'!$B$8="Paste Import",'Paste Import'!C73,'Manual Input'!C73)</f>
        <v/>
      </c>
      <c r="D73" s="20" t="str">
        <f>IF('Start Here'!$B$8="Paste Import",'Paste Import'!D73,'Manual Input'!D73)</f>
        <v/>
      </c>
      <c r="E73" s="19" t="str">
        <f>IF('Start Here'!$B$8="Paste Import",'Paste Import'!E73,'Manual Input'!E73)</f>
        <v/>
      </c>
      <c r="F73" s="19" t="str">
        <f>IF('Start Here'!$B$8="Paste Import",'Paste Import'!F73,'Manual Input'!F73)</f>
        <v/>
      </c>
      <c r="G73" s="19" t="str">
        <f>IF('Start Here'!$B$8="Paste Import",'Paste Import'!G73,'Manual Input'!G73)</f>
        <v/>
      </c>
      <c r="H73" s="19" t="str">
        <f>IF('Start Here'!$B$8="Paste Import",'Paste Import'!H73,'Manual Input'!H73)</f>
        <v/>
      </c>
      <c r="I73" s="19" t="str">
        <f>IF(B73="","",IF(COUNTIF($B$6:$B$105,B73)&gt;1,"Duplicate",""))</f>
        <v/>
      </c>
      <c r="J73" s="19" t="str">
        <f>IF(COUNTA(A73:H73)=0,"",IF(OR(A73="",D73="",E73="",F73=""),"Incomplete",IF(F73="Unresolved","Review","OK")))</f>
        <v/>
      </c>
    </row>
    <row r="74" spans="1:10" x14ac:dyDescent="0.25">
      <c r="A74" s="18" t="str">
        <f>IF('Start Here'!$B$8="Paste Import",'Paste Import'!A74,'Manual Input'!A74)</f>
        <v/>
      </c>
      <c r="B74" s="19" t="str">
        <f>IF('Start Here'!$B$8="Paste Import",'Paste Import'!B74,'Manual Input'!B74)</f>
        <v/>
      </c>
      <c r="C74" s="19" t="str">
        <f>IF('Start Here'!$B$8="Paste Import",'Paste Import'!C74,'Manual Input'!C74)</f>
        <v/>
      </c>
      <c r="D74" s="20" t="str">
        <f>IF('Start Here'!$B$8="Paste Import",'Paste Import'!D74,'Manual Input'!D74)</f>
        <v/>
      </c>
      <c r="E74" s="19" t="str">
        <f>IF('Start Here'!$B$8="Paste Import",'Paste Import'!E74,'Manual Input'!E74)</f>
        <v/>
      </c>
      <c r="F74" s="19" t="str">
        <f>IF('Start Here'!$B$8="Paste Import",'Paste Import'!F74,'Manual Input'!F74)</f>
        <v/>
      </c>
      <c r="G74" s="19" t="str">
        <f>IF('Start Here'!$B$8="Paste Import",'Paste Import'!G74,'Manual Input'!G74)</f>
        <v/>
      </c>
      <c r="H74" s="19" t="str">
        <f>IF('Start Here'!$B$8="Paste Import",'Paste Import'!H74,'Manual Input'!H74)</f>
        <v/>
      </c>
      <c r="I74" s="19" t="str">
        <f>IF(B74="","",IF(COUNTIF($B$6:$B$105,B74)&gt;1,"Duplicate",""))</f>
        <v/>
      </c>
      <c r="J74" s="19" t="str">
        <f>IF(COUNTA(A74:H74)=0,"",IF(OR(A74="",D74="",E74="",F74=""),"Incomplete",IF(F74="Unresolved","Review","OK")))</f>
        <v/>
      </c>
    </row>
    <row r="75" spans="1:10" x14ac:dyDescent="0.25">
      <c r="A75" s="18" t="str">
        <f>IF('Start Here'!$B$8="Paste Import",'Paste Import'!A75,'Manual Input'!A75)</f>
        <v/>
      </c>
      <c r="B75" s="19" t="str">
        <f>IF('Start Here'!$B$8="Paste Import",'Paste Import'!B75,'Manual Input'!B75)</f>
        <v/>
      </c>
      <c r="C75" s="19" t="str">
        <f>IF('Start Here'!$B$8="Paste Import",'Paste Import'!C75,'Manual Input'!C75)</f>
        <v/>
      </c>
      <c r="D75" s="20" t="str">
        <f>IF('Start Here'!$B$8="Paste Import",'Paste Import'!D75,'Manual Input'!D75)</f>
        <v/>
      </c>
      <c r="E75" s="19" t="str">
        <f>IF('Start Here'!$B$8="Paste Import",'Paste Import'!E75,'Manual Input'!E75)</f>
        <v/>
      </c>
      <c r="F75" s="19" t="str">
        <f>IF('Start Here'!$B$8="Paste Import",'Paste Import'!F75,'Manual Input'!F75)</f>
        <v/>
      </c>
      <c r="G75" s="19" t="str">
        <f>IF('Start Here'!$B$8="Paste Import",'Paste Import'!G75,'Manual Input'!G75)</f>
        <v/>
      </c>
      <c r="H75" s="19" t="str">
        <f>IF('Start Here'!$B$8="Paste Import",'Paste Import'!H75,'Manual Input'!H75)</f>
        <v/>
      </c>
      <c r="I75" s="19" t="str">
        <f>IF(B75="","",IF(COUNTIF($B$6:$B$105,B75)&gt;1,"Duplicate",""))</f>
        <v/>
      </c>
      <c r="J75" s="19" t="str">
        <f>IF(COUNTA(A75:H75)=0,"",IF(OR(A75="",D75="",E75="",F75=""),"Incomplete",IF(F75="Unresolved","Review","OK")))</f>
        <v/>
      </c>
    </row>
    <row r="76" spans="1:10" x14ac:dyDescent="0.25">
      <c r="A76" s="18" t="str">
        <f>IF('Start Here'!$B$8="Paste Import",'Paste Import'!A76,'Manual Input'!A76)</f>
        <v/>
      </c>
      <c r="B76" s="19" t="str">
        <f>IF('Start Here'!$B$8="Paste Import",'Paste Import'!B76,'Manual Input'!B76)</f>
        <v/>
      </c>
      <c r="C76" s="19" t="str">
        <f>IF('Start Here'!$B$8="Paste Import",'Paste Import'!C76,'Manual Input'!C76)</f>
        <v/>
      </c>
      <c r="D76" s="20" t="str">
        <f>IF('Start Here'!$B$8="Paste Import",'Paste Import'!D76,'Manual Input'!D76)</f>
        <v/>
      </c>
      <c r="E76" s="19" t="str">
        <f>IF('Start Here'!$B$8="Paste Import",'Paste Import'!E76,'Manual Input'!E76)</f>
        <v/>
      </c>
      <c r="F76" s="19" t="str">
        <f>IF('Start Here'!$B$8="Paste Import",'Paste Import'!F76,'Manual Input'!F76)</f>
        <v/>
      </c>
      <c r="G76" s="19" t="str">
        <f>IF('Start Here'!$B$8="Paste Import",'Paste Import'!G76,'Manual Input'!G76)</f>
        <v/>
      </c>
      <c r="H76" s="19" t="str">
        <f>IF('Start Here'!$B$8="Paste Import",'Paste Import'!H76,'Manual Input'!H76)</f>
        <v/>
      </c>
      <c r="I76" s="19" t="str">
        <f>IF(B76="","",IF(COUNTIF($B$6:$B$105,B76)&gt;1,"Duplicate",""))</f>
        <v/>
      </c>
      <c r="J76" s="19" t="str">
        <f>IF(COUNTA(A76:H76)=0,"",IF(OR(A76="",D76="",E76="",F76=""),"Incomplete",IF(F76="Unresolved","Review","OK")))</f>
        <v/>
      </c>
    </row>
    <row r="77" spans="1:10" x14ac:dyDescent="0.25">
      <c r="A77" s="18" t="str">
        <f>IF('Start Here'!$B$8="Paste Import",'Paste Import'!A77,'Manual Input'!A77)</f>
        <v/>
      </c>
      <c r="B77" s="19" t="str">
        <f>IF('Start Here'!$B$8="Paste Import",'Paste Import'!B77,'Manual Input'!B77)</f>
        <v/>
      </c>
      <c r="C77" s="19" t="str">
        <f>IF('Start Here'!$B$8="Paste Import",'Paste Import'!C77,'Manual Input'!C77)</f>
        <v/>
      </c>
      <c r="D77" s="20" t="str">
        <f>IF('Start Here'!$B$8="Paste Import",'Paste Import'!D77,'Manual Input'!D77)</f>
        <v/>
      </c>
      <c r="E77" s="19" t="str">
        <f>IF('Start Here'!$B$8="Paste Import",'Paste Import'!E77,'Manual Input'!E77)</f>
        <v/>
      </c>
      <c r="F77" s="19" t="str">
        <f>IF('Start Here'!$B$8="Paste Import",'Paste Import'!F77,'Manual Input'!F77)</f>
        <v/>
      </c>
      <c r="G77" s="19" t="str">
        <f>IF('Start Here'!$B$8="Paste Import",'Paste Import'!G77,'Manual Input'!G77)</f>
        <v/>
      </c>
      <c r="H77" s="19" t="str">
        <f>IF('Start Here'!$B$8="Paste Import",'Paste Import'!H77,'Manual Input'!H77)</f>
        <v/>
      </c>
      <c r="I77" s="19" t="str">
        <f>IF(B77="","",IF(COUNTIF($B$6:$B$105,B77)&gt;1,"Duplicate",""))</f>
        <v/>
      </c>
      <c r="J77" s="19" t="str">
        <f>IF(COUNTA(A77:H77)=0,"",IF(OR(A77="",D77="",E77="",F77=""),"Incomplete",IF(F77="Unresolved","Review","OK")))</f>
        <v/>
      </c>
    </row>
    <row r="78" spans="1:10" x14ac:dyDescent="0.25">
      <c r="A78" s="18" t="str">
        <f>IF('Start Here'!$B$8="Paste Import",'Paste Import'!A78,'Manual Input'!A78)</f>
        <v/>
      </c>
      <c r="B78" s="19" t="str">
        <f>IF('Start Here'!$B$8="Paste Import",'Paste Import'!B78,'Manual Input'!B78)</f>
        <v/>
      </c>
      <c r="C78" s="19" t="str">
        <f>IF('Start Here'!$B$8="Paste Import",'Paste Import'!C78,'Manual Input'!C78)</f>
        <v/>
      </c>
      <c r="D78" s="20" t="str">
        <f>IF('Start Here'!$B$8="Paste Import",'Paste Import'!D78,'Manual Input'!D78)</f>
        <v/>
      </c>
      <c r="E78" s="19" t="str">
        <f>IF('Start Here'!$B$8="Paste Import",'Paste Import'!E78,'Manual Input'!E78)</f>
        <v/>
      </c>
      <c r="F78" s="19" t="str">
        <f>IF('Start Here'!$B$8="Paste Import",'Paste Import'!F78,'Manual Input'!F78)</f>
        <v/>
      </c>
      <c r="G78" s="19" t="str">
        <f>IF('Start Here'!$B$8="Paste Import",'Paste Import'!G78,'Manual Input'!G78)</f>
        <v/>
      </c>
      <c r="H78" s="19" t="str">
        <f>IF('Start Here'!$B$8="Paste Import",'Paste Import'!H78,'Manual Input'!H78)</f>
        <v/>
      </c>
      <c r="I78" s="19" t="str">
        <f>IF(B78="","",IF(COUNTIF($B$6:$B$105,B78)&gt;1,"Duplicate",""))</f>
        <v/>
      </c>
      <c r="J78" s="19" t="str">
        <f>IF(COUNTA(A78:H78)=0,"",IF(OR(A78="",D78="",E78="",F78=""),"Incomplete",IF(F78="Unresolved","Review","OK")))</f>
        <v/>
      </c>
    </row>
    <row r="79" spans="1:10" x14ac:dyDescent="0.25">
      <c r="A79" s="18" t="str">
        <f>IF('Start Here'!$B$8="Paste Import",'Paste Import'!A79,'Manual Input'!A79)</f>
        <v/>
      </c>
      <c r="B79" s="19" t="str">
        <f>IF('Start Here'!$B$8="Paste Import",'Paste Import'!B79,'Manual Input'!B79)</f>
        <v/>
      </c>
      <c r="C79" s="19" t="str">
        <f>IF('Start Here'!$B$8="Paste Import",'Paste Import'!C79,'Manual Input'!C79)</f>
        <v/>
      </c>
      <c r="D79" s="20" t="str">
        <f>IF('Start Here'!$B$8="Paste Import",'Paste Import'!D79,'Manual Input'!D79)</f>
        <v/>
      </c>
      <c r="E79" s="19" t="str">
        <f>IF('Start Here'!$B$8="Paste Import",'Paste Import'!E79,'Manual Input'!E79)</f>
        <v/>
      </c>
      <c r="F79" s="19" t="str">
        <f>IF('Start Here'!$B$8="Paste Import",'Paste Import'!F79,'Manual Input'!F79)</f>
        <v/>
      </c>
      <c r="G79" s="19" t="str">
        <f>IF('Start Here'!$B$8="Paste Import",'Paste Import'!G79,'Manual Input'!G79)</f>
        <v/>
      </c>
      <c r="H79" s="19" t="str">
        <f>IF('Start Here'!$B$8="Paste Import",'Paste Import'!H79,'Manual Input'!H79)</f>
        <v/>
      </c>
      <c r="I79" s="19" t="str">
        <f>IF(B79="","",IF(COUNTIF($B$6:$B$105,B79)&gt;1,"Duplicate",""))</f>
        <v/>
      </c>
      <c r="J79" s="19" t="str">
        <f>IF(COUNTA(A79:H79)=0,"",IF(OR(A79="",D79="",E79="",F79=""),"Incomplete",IF(F79="Unresolved","Review","OK")))</f>
        <v/>
      </c>
    </row>
    <row r="80" spans="1:10" x14ac:dyDescent="0.25">
      <c r="A80" s="18" t="str">
        <f>IF('Start Here'!$B$8="Paste Import",'Paste Import'!A80,'Manual Input'!A80)</f>
        <v/>
      </c>
      <c r="B80" s="19" t="str">
        <f>IF('Start Here'!$B$8="Paste Import",'Paste Import'!B80,'Manual Input'!B80)</f>
        <v/>
      </c>
      <c r="C80" s="19" t="str">
        <f>IF('Start Here'!$B$8="Paste Import",'Paste Import'!C80,'Manual Input'!C80)</f>
        <v/>
      </c>
      <c r="D80" s="20" t="str">
        <f>IF('Start Here'!$B$8="Paste Import",'Paste Import'!D80,'Manual Input'!D80)</f>
        <v/>
      </c>
      <c r="E80" s="19" t="str">
        <f>IF('Start Here'!$B$8="Paste Import",'Paste Import'!E80,'Manual Input'!E80)</f>
        <v/>
      </c>
      <c r="F80" s="19" t="str">
        <f>IF('Start Here'!$B$8="Paste Import",'Paste Import'!F80,'Manual Input'!F80)</f>
        <v/>
      </c>
      <c r="G80" s="19" t="str">
        <f>IF('Start Here'!$B$8="Paste Import",'Paste Import'!G80,'Manual Input'!G80)</f>
        <v/>
      </c>
      <c r="H80" s="19" t="str">
        <f>IF('Start Here'!$B$8="Paste Import",'Paste Import'!H80,'Manual Input'!H80)</f>
        <v/>
      </c>
      <c r="I80" s="19" t="str">
        <f>IF(B80="","",IF(COUNTIF($B$6:$B$105,B80)&gt;1,"Duplicate",""))</f>
        <v/>
      </c>
      <c r="J80" s="19" t="str">
        <f>IF(COUNTA(A80:H80)=0,"",IF(OR(A80="",D80="",E80="",F80=""),"Incomplete",IF(F80="Unresolved","Review","OK")))</f>
        <v/>
      </c>
    </row>
    <row r="81" spans="1:10" x14ac:dyDescent="0.25">
      <c r="A81" s="18" t="str">
        <f>IF('Start Here'!$B$8="Paste Import",'Paste Import'!A81,'Manual Input'!A81)</f>
        <v/>
      </c>
      <c r="B81" s="19" t="str">
        <f>IF('Start Here'!$B$8="Paste Import",'Paste Import'!B81,'Manual Input'!B81)</f>
        <v/>
      </c>
      <c r="C81" s="19" t="str">
        <f>IF('Start Here'!$B$8="Paste Import",'Paste Import'!C81,'Manual Input'!C81)</f>
        <v/>
      </c>
      <c r="D81" s="20" t="str">
        <f>IF('Start Here'!$B$8="Paste Import",'Paste Import'!D81,'Manual Input'!D81)</f>
        <v/>
      </c>
      <c r="E81" s="19" t="str">
        <f>IF('Start Here'!$B$8="Paste Import",'Paste Import'!E81,'Manual Input'!E81)</f>
        <v/>
      </c>
      <c r="F81" s="19" t="str">
        <f>IF('Start Here'!$B$8="Paste Import",'Paste Import'!F81,'Manual Input'!F81)</f>
        <v/>
      </c>
      <c r="G81" s="19" t="str">
        <f>IF('Start Here'!$B$8="Paste Import",'Paste Import'!G81,'Manual Input'!G81)</f>
        <v/>
      </c>
      <c r="H81" s="19" t="str">
        <f>IF('Start Here'!$B$8="Paste Import",'Paste Import'!H81,'Manual Input'!H81)</f>
        <v/>
      </c>
      <c r="I81" s="19" t="str">
        <f>IF(B81="","",IF(COUNTIF($B$6:$B$105,B81)&gt;1,"Duplicate",""))</f>
        <v/>
      </c>
      <c r="J81" s="19" t="str">
        <f>IF(COUNTA(A81:H81)=0,"",IF(OR(A81="",D81="",E81="",F81=""),"Incomplete",IF(F81="Unresolved","Review","OK")))</f>
        <v/>
      </c>
    </row>
    <row r="82" spans="1:10" x14ac:dyDescent="0.25">
      <c r="A82" s="18" t="str">
        <f>IF('Start Here'!$B$8="Paste Import",'Paste Import'!A82,'Manual Input'!A82)</f>
        <v/>
      </c>
      <c r="B82" s="19" t="str">
        <f>IF('Start Here'!$B$8="Paste Import",'Paste Import'!B82,'Manual Input'!B82)</f>
        <v/>
      </c>
      <c r="C82" s="19" t="str">
        <f>IF('Start Here'!$B$8="Paste Import",'Paste Import'!C82,'Manual Input'!C82)</f>
        <v/>
      </c>
      <c r="D82" s="20" t="str">
        <f>IF('Start Here'!$B$8="Paste Import",'Paste Import'!D82,'Manual Input'!D82)</f>
        <v/>
      </c>
      <c r="E82" s="19" t="str">
        <f>IF('Start Here'!$B$8="Paste Import",'Paste Import'!E82,'Manual Input'!E82)</f>
        <v/>
      </c>
      <c r="F82" s="19" t="str">
        <f>IF('Start Here'!$B$8="Paste Import",'Paste Import'!F82,'Manual Input'!F82)</f>
        <v/>
      </c>
      <c r="G82" s="19" t="str">
        <f>IF('Start Here'!$B$8="Paste Import",'Paste Import'!G82,'Manual Input'!G82)</f>
        <v/>
      </c>
      <c r="H82" s="19" t="str">
        <f>IF('Start Here'!$B$8="Paste Import",'Paste Import'!H82,'Manual Input'!H82)</f>
        <v/>
      </c>
      <c r="I82" s="19" t="str">
        <f>IF(B82="","",IF(COUNTIF($B$6:$B$105,B82)&gt;1,"Duplicate",""))</f>
        <v/>
      </c>
      <c r="J82" s="19" t="str">
        <f>IF(COUNTA(A82:H82)=0,"",IF(OR(A82="",D82="",E82="",F82=""),"Incomplete",IF(F82="Unresolved","Review","OK")))</f>
        <v/>
      </c>
    </row>
    <row r="83" spans="1:10" x14ac:dyDescent="0.25">
      <c r="A83" s="18" t="str">
        <f>IF('Start Here'!$B$8="Paste Import",'Paste Import'!A83,'Manual Input'!A83)</f>
        <v/>
      </c>
      <c r="B83" s="19" t="str">
        <f>IF('Start Here'!$B$8="Paste Import",'Paste Import'!B83,'Manual Input'!B83)</f>
        <v/>
      </c>
      <c r="C83" s="19" t="str">
        <f>IF('Start Here'!$B$8="Paste Import",'Paste Import'!C83,'Manual Input'!C83)</f>
        <v/>
      </c>
      <c r="D83" s="20" t="str">
        <f>IF('Start Here'!$B$8="Paste Import",'Paste Import'!D83,'Manual Input'!D83)</f>
        <v/>
      </c>
      <c r="E83" s="19" t="str">
        <f>IF('Start Here'!$B$8="Paste Import",'Paste Import'!E83,'Manual Input'!E83)</f>
        <v/>
      </c>
      <c r="F83" s="19" t="str">
        <f>IF('Start Here'!$B$8="Paste Import",'Paste Import'!F83,'Manual Input'!F83)</f>
        <v/>
      </c>
      <c r="G83" s="19" t="str">
        <f>IF('Start Here'!$B$8="Paste Import",'Paste Import'!G83,'Manual Input'!G83)</f>
        <v/>
      </c>
      <c r="H83" s="19" t="str">
        <f>IF('Start Here'!$B$8="Paste Import",'Paste Import'!H83,'Manual Input'!H83)</f>
        <v/>
      </c>
      <c r="I83" s="19" t="str">
        <f>IF(B83="","",IF(COUNTIF($B$6:$B$105,B83)&gt;1,"Duplicate",""))</f>
        <v/>
      </c>
      <c r="J83" s="19" t="str">
        <f>IF(COUNTA(A83:H83)=0,"",IF(OR(A83="",D83="",E83="",F83=""),"Incomplete",IF(F83="Unresolved","Review","OK")))</f>
        <v/>
      </c>
    </row>
    <row r="84" spans="1:10" x14ac:dyDescent="0.25">
      <c r="A84" s="18" t="str">
        <f>IF('Start Here'!$B$8="Paste Import",'Paste Import'!A84,'Manual Input'!A84)</f>
        <v/>
      </c>
      <c r="B84" s="19" t="str">
        <f>IF('Start Here'!$B$8="Paste Import",'Paste Import'!B84,'Manual Input'!B84)</f>
        <v/>
      </c>
      <c r="C84" s="19" t="str">
        <f>IF('Start Here'!$B$8="Paste Import",'Paste Import'!C84,'Manual Input'!C84)</f>
        <v/>
      </c>
      <c r="D84" s="20" t="str">
        <f>IF('Start Here'!$B$8="Paste Import",'Paste Import'!D84,'Manual Input'!D84)</f>
        <v/>
      </c>
      <c r="E84" s="19" t="str">
        <f>IF('Start Here'!$B$8="Paste Import",'Paste Import'!E84,'Manual Input'!E84)</f>
        <v/>
      </c>
      <c r="F84" s="19" t="str">
        <f>IF('Start Here'!$B$8="Paste Import",'Paste Import'!F84,'Manual Input'!F84)</f>
        <v/>
      </c>
      <c r="G84" s="19" t="str">
        <f>IF('Start Here'!$B$8="Paste Import",'Paste Import'!G84,'Manual Input'!G84)</f>
        <v/>
      </c>
      <c r="H84" s="19" t="str">
        <f>IF('Start Here'!$B$8="Paste Import",'Paste Import'!H84,'Manual Input'!H84)</f>
        <v/>
      </c>
      <c r="I84" s="19" t="str">
        <f>IF(B84="","",IF(COUNTIF($B$6:$B$105,B84)&gt;1,"Duplicate",""))</f>
        <v/>
      </c>
      <c r="J84" s="19" t="str">
        <f>IF(COUNTA(A84:H84)=0,"",IF(OR(A84="",D84="",E84="",F84=""),"Incomplete",IF(F84="Unresolved","Review","OK")))</f>
        <v/>
      </c>
    </row>
    <row r="85" spans="1:10" x14ac:dyDescent="0.25">
      <c r="A85" s="18" t="str">
        <f>IF('Start Here'!$B$8="Paste Import",'Paste Import'!A85,'Manual Input'!A85)</f>
        <v/>
      </c>
      <c r="B85" s="19" t="str">
        <f>IF('Start Here'!$B$8="Paste Import",'Paste Import'!B85,'Manual Input'!B85)</f>
        <v/>
      </c>
      <c r="C85" s="19" t="str">
        <f>IF('Start Here'!$B$8="Paste Import",'Paste Import'!C85,'Manual Input'!C85)</f>
        <v/>
      </c>
      <c r="D85" s="20" t="str">
        <f>IF('Start Here'!$B$8="Paste Import",'Paste Import'!D85,'Manual Input'!D85)</f>
        <v/>
      </c>
      <c r="E85" s="19" t="str">
        <f>IF('Start Here'!$B$8="Paste Import",'Paste Import'!E85,'Manual Input'!E85)</f>
        <v/>
      </c>
      <c r="F85" s="19" t="str">
        <f>IF('Start Here'!$B$8="Paste Import",'Paste Import'!F85,'Manual Input'!F85)</f>
        <v/>
      </c>
      <c r="G85" s="19" t="str">
        <f>IF('Start Here'!$B$8="Paste Import",'Paste Import'!G85,'Manual Input'!G85)</f>
        <v/>
      </c>
      <c r="H85" s="19" t="str">
        <f>IF('Start Here'!$B$8="Paste Import",'Paste Import'!H85,'Manual Input'!H85)</f>
        <v/>
      </c>
      <c r="I85" s="19" t="str">
        <f>IF(B85="","",IF(COUNTIF($B$6:$B$105,B85)&gt;1,"Duplicate",""))</f>
        <v/>
      </c>
      <c r="J85" s="19" t="str">
        <f>IF(COUNTA(A85:H85)=0,"",IF(OR(A85="",D85="",E85="",F85=""),"Incomplete",IF(F85="Unresolved","Review","OK")))</f>
        <v/>
      </c>
    </row>
    <row r="86" spans="1:10" x14ac:dyDescent="0.25">
      <c r="A86" s="18" t="str">
        <f>IF('Start Here'!$B$8="Paste Import",'Paste Import'!A86,'Manual Input'!A86)</f>
        <v/>
      </c>
      <c r="B86" s="19" t="str">
        <f>IF('Start Here'!$B$8="Paste Import",'Paste Import'!B86,'Manual Input'!B86)</f>
        <v/>
      </c>
      <c r="C86" s="19" t="str">
        <f>IF('Start Here'!$B$8="Paste Import",'Paste Import'!C86,'Manual Input'!C86)</f>
        <v/>
      </c>
      <c r="D86" s="20" t="str">
        <f>IF('Start Here'!$B$8="Paste Import",'Paste Import'!D86,'Manual Input'!D86)</f>
        <v/>
      </c>
      <c r="E86" s="19" t="str">
        <f>IF('Start Here'!$B$8="Paste Import",'Paste Import'!E86,'Manual Input'!E86)</f>
        <v/>
      </c>
      <c r="F86" s="19" t="str">
        <f>IF('Start Here'!$B$8="Paste Import",'Paste Import'!F86,'Manual Input'!F86)</f>
        <v/>
      </c>
      <c r="G86" s="19" t="str">
        <f>IF('Start Here'!$B$8="Paste Import",'Paste Import'!G86,'Manual Input'!G86)</f>
        <v/>
      </c>
      <c r="H86" s="19" t="str">
        <f>IF('Start Here'!$B$8="Paste Import",'Paste Import'!H86,'Manual Input'!H86)</f>
        <v/>
      </c>
      <c r="I86" s="19" t="str">
        <f>IF(B86="","",IF(COUNTIF($B$6:$B$105,B86)&gt;1,"Duplicate",""))</f>
        <v/>
      </c>
      <c r="J86" s="19" t="str">
        <f>IF(COUNTA(A86:H86)=0,"",IF(OR(A86="",D86="",E86="",F86=""),"Incomplete",IF(F86="Unresolved","Review","OK")))</f>
        <v/>
      </c>
    </row>
    <row r="87" spans="1:10" x14ac:dyDescent="0.25">
      <c r="A87" s="18" t="str">
        <f>IF('Start Here'!$B$8="Paste Import",'Paste Import'!A87,'Manual Input'!A87)</f>
        <v/>
      </c>
      <c r="B87" s="19" t="str">
        <f>IF('Start Here'!$B$8="Paste Import",'Paste Import'!B87,'Manual Input'!B87)</f>
        <v/>
      </c>
      <c r="C87" s="19" t="str">
        <f>IF('Start Here'!$B$8="Paste Import",'Paste Import'!C87,'Manual Input'!C87)</f>
        <v/>
      </c>
      <c r="D87" s="20" t="str">
        <f>IF('Start Here'!$B$8="Paste Import",'Paste Import'!D87,'Manual Input'!D87)</f>
        <v/>
      </c>
      <c r="E87" s="19" t="str">
        <f>IF('Start Here'!$B$8="Paste Import",'Paste Import'!E87,'Manual Input'!E87)</f>
        <v/>
      </c>
      <c r="F87" s="19" t="str">
        <f>IF('Start Here'!$B$8="Paste Import",'Paste Import'!F87,'Manual Input'!F87)</f>
        <v/>
      </c>
      <c r="G87" s="19" t="str">
        <f>IF('Start Here'!$B$8="Paste Import",'Paste Import'!G87,'Manual Input'!G87)</f>
        <v/>
      </c>
      <c r="H87" s="19" t="str">
        <f>IF('Start Here'!$B$8="Paste Import",'Paste Import'!H87,'Manual Input'!H87)</f>
        <v/>
      </c>
      <c r="I87" s="19" t="str">
        <f>IF(B87="","",IF(COUNTIF($B$6:$B$105,B87)&gt;1,"Duplicate",""))</f>
        <v/>
      </c>
      <c r="J87" s="19" t="str">
        <f>IF(COUNTA(A87:H87)=0,"",IF(OR(A87="",D87="",E87="",F87=""),"Incomplete",IF(F87="Unresolved","Review","OK")))</f>
        <v/>
      </c>
    </row>
    <row r="88" spans="1:10" x14ac:dyDescent="0.25">
      <c r="A88" s="18" t="str">
        <f>IF('Start Here'!$B$8="Paste Import",'Paste Import'!A88,'Manual Input'!A88)</f>
        <v/>
      </c>
      <c r="B88" s="19" t="str">
        <f>IF('Start Here'!$B$8="Paste Import",'Paste Import'!B88,'Manual Input'!B88)</f>
        <v/>
      </c>
      <c r="C88" s="19" t="str">
        <f>IF('Start Here'!$B$8="Paste Import",'Paste Import'!C88,'Manual Input'!C88)</f>
        <v/>
      </c>
      <c r="D88" s="20" t="str">
        <f>IF('Start Here'!$B$8="Paste Import",'Paste Import'!D88,'Manual Input'!D88)</f>
        <v/>
      </c>
      <c r="E88" s="19" t="str">
        <f>IF('Start Here'!$B$8="Paste Import",'Paste Import'!E88,'Manual Input'!E88)</f>
        <v/>
      </c>
      <c r="F88" s="19" t="str">
        <f>IF('Start Here'!$B$8="Paste Import",'Paste Import'!F88,'Manual Input'!F88)</f>
        <v/>
      </c>
      <c r="G88" s="19" t="str">
        <f>IF('Start Here'!$B$8="Paste Import",'Paste Import'!G88,'Manual Input'!G88)</f>
        <v/>
      </c>
      <c r="H88" s="19" t="str">
        <f>IF('Start Here'!$B$8="Paste Import",'Paste Import'!H88,'Manual Input'!H88)</f>
        <v/>
      </c>
      <c r="I88" s="19" t="str">
        <f>IF(B88="","",IF(COUNTIF($B$6:$B$105,B88)&gt;1,"Duplicate",""))</f>
        <v/>
      </c>
      <c r="J88" s="19" t="str">
        <f>IF(COUNTA(A88:H88)=0,"",IF(OR(A88="",D88="",E88="",F88=""),"Incomplete",IF(F88="Unresolved","Review","OK")))</f>
        <v/>
      </c>
    </row>
    <row r="89" spans="1:10" x14ac:dyDescent="0.25">
      <c r="A89" s="18" t="str">
        <f>IF('Start Here'!$B$8="Paste Import",'Paste Import'!A89,'Manual Input'!A89)</f>
        <v/>
      </c>
      <c r="B89" s="19" t="str">
        <f>IF('Start Here'!$B$8="Paste Import",'Paste Import'!B89,'Manual Input'!B89)</f>
        <v/>
      </c>
      <c r="C89" s="19" t="str">
        <f>IF('Start Here'!$B$8="Paste Import",'Paste Import'!C89,'Manual Input'!C89)</f>
        <v/>
      </c>
      <c r="D89" s="20" t="str">
        <f>IF('Start Here'!$B$8="Paste Import",'Paste Import'!D89,'Manual Input'!D89)</f>
        <v/>
      </c>
      <c r="E89" s="19" t="str">
        <f>IF('Start Here'!$B$8="Paste Import",'Paste Import'!E89,'Manual Input'!E89)</f>
        <v/>
      </c>
      <c r="F89" s="19" t="str">
        <f>IF('Start Here'!$B$8="Paste Import",'Paste Import'!F89,'Manual Input'!F89)</f>
        <v/>
      </c>
      <c r="G89" s="19" t="str">
        <f>IF('Start Here'!$B$8="Paste Import",'Paste Import'!G89,'Manual Input'!G89)</f>
        <v/>
      </c>
      <c r="H89" s="19" t="str">
        <f>IF('Start Here'!$B$8="Paste Import",'Paste Import'!H89,'Manual Input'!H89)</f>
        <v/>
      </c>
      <c r="I89" s="19" t="str">
        <f>IF(B89="","",IF(COUNTIF($B$6:$B$105,B89)&gt;1,"Duplicate",""))</f>
        <v/>
      </c>
      <c r="J89" s="19" t="str">
        <f>IF(COUNTA(A89:H89)=0,"",IF(OR(A89="",D89="",E89="",F89=""),"Incomplete",IF(F89="Unresolved","Review","OK")))</f>
        <v/>
      </c>
    </row>
    <row r="90" spans="1:10" x14ac:dyDescent="0.25">
      <c r="A90" s="18" t="str">
        <f>IF('Start Here'!$B$8="Paste Import",'Paste Import'!A90,'Manual Input'!A90)</f>
        <v/>
      </c>
      <c r="B90" s="19" t="str">
        <f>IF('Start Here'!$B$8="Paste Import",'Paste Import'!B90,'Manual Input'!B90)</f>
        <v/>
      </c>
      <c r="C90" s="19" t="str">
        <f>IF('Start Here'!$B$8="Paste Import",'Paste Import'!C90,'Manual Input'!C90)</f>
        <v/>
      </c>
      <c r="D90" s="20" t="str">
        <f>IF('Start Here'!$B$8="Paste Import",'Paste Import'!D90,'Manual Input'!D90)</f>
        <v/>
      </c>
      <c r="E90" s="19" t="str">
        <f>IF('Start Here'!$B$8="Paste Import",'Paste Import'!E90,'Manual Input'!E90)</f>
        <v/>
      </c>
      <c r="F90" s="19" t="str">
        <f>IF('Start Here'!$B$8="Paste Import",'Paste Import'!F90,'Manual Input'!F90)</f>
        <v/>
      </c>
      <c r="G90" s="19" t="str">
        <f>IF('Start Here'!$B$8="Paste Import",'Paste Import'!G90,'Manual Input'!G90)</f>
        <v/>
      </c>
      <c r="H90" s="19" t="str">
        <f>IF('Start Here'!$B$8="Paste Import",'Paste Import'!H90,'Manual Input'!H90)</f>
        <v/>
      </c>
      <c r="I90" s="19" t="str">
        <f>IF(B90="","",IF(COUNTIF($B$6:$B$105,B90)&gt;1,"Duplicate",""))</f>
        <v/>
      </c>
      <c r="J90" s="19" t="str">
        <f>IF(COUNTA(A90:H90)=0,"",IF(OR(A90="",D90="",E90="",F90=""),"Incomplete",IF(F90="Unresolved","Review","OK")))</f>
        <v/>
      </c>
    </row>
    <row r="91" spans="1:10" x14ac:dyDescent="0.25">
      <c r="A91" s="18" t="str">
        <f>IF('Start Here'!$B$8="Paste Import",'Paste Import'!A91,'Manual Input'!A91)</f>
        <v/>
      </c>
      <c r="B91" s="19" t="str">
        <f>IF('Start Here'!$B$8="Paste Import",'Paste Import'!B91,'Manual Input'!B91)</f>
        <v/>
      </c>
      <c r="C91" s="19" t="str">
        <f>IF('Start Here'!$B$8="Paste Import",'Paste Import'!C91,'Manual Input'!C91)</f>
        <v/>
      </c>
      <c r="D91" s="20" t="str">
        <f>IF('Start Here'!$B$8="Paste Import",'Paste Import'!D91,'Manual Input'!D91)</f>
        <v/>
      </c>
      <c r="E91" s="19" t="str">
        <f>IF('Start Here'!$B$8="Paste Import",'Paste Import'!E91,'Manual Input'!E91)</f>
        <v/>
      </c>
      <c r="F91" s="19" t="str">
        <f>IF('Start Here'!$B$8="Paste Import",'Paste Import'!F91,'Manual Input'!F91)</f>
        <v/>
      </c>
      <c r="G91" s="19" t="str">
        <f>IF('Start Here'!$B$8="Paste Import",'Paste Import'!G91,'Manual Input'!G91)</f>
        <v/>
      </c>
      <c r="H91" s="19" t="str">
        <f>IF('Start Here'!$B$8="Paste Import",'Paste Import'!H91,'Manual Input'!H91)</f>
        <v/>
      </c>
      <c r="I91" s="19" t="str">
        <f>IF(B91="","",IF(COUNTIF($B$6:$B$105,B91)&gt;1,"Duplicate",""))</f>
        <v/>
      </c>
      <c r="J91" s="19" t="str">
        <f>IF(COUNTA(A91:H91)=0,"",IF(OR(A91="",D91="",E91="",F91=""),"Incomplete",IF(F91="Unresolved","Review","OK")))</f>
        <v/>
      </c>
    </row>
    <row r="92" spans="1:10" x14ac:dyDescent="0.25">
      <c r="A92" s="18" t="str">
        <f>IF('Start Here'!$B$8="Paste Import",'Paste Import'!A92,'Manual Input'!A92)</f>
        <v/>
      </c>
      <c r="B92" s="19" t="str">
        <f>IF('Start Here'!$B$8="Paste Import",'Paste Import'!B92,'Manual Input'!B92)</f>
        <v/>
      </c>
      <c r="C92" s="19" t="str">
        <f>IF('Start Here'!$B$8="Paste Import",'Paste Import'!C92,'Manual Input'!C92)</f>
        <v/>
      </c>
      <c r="D92" s="20" t="str">
        <f>IF('Start Here'!$B$8="Paste Import",'Paste Import'!D92,'Manual Input'!D92)</f>
        <v/>
      </c>
      <c r="E92" s="19" t="str">
        <f>IF('Start Here'!$B$8="Paste Import",'Paste Import'!E92,'Manual Input'!E92)</f>
        <v/>
      </c>
      <c r="F92" s="19" t="str">
        <f>IF('Start Here'!$B$8="Paste Import",'Paste Import'!F92,'Manual Input'!F92)</f>
        <v/>
      </c>
      <c r="G92" s="19" t="str">
        <f>IF('Start Here'!$B$8="Paste Import",'Paste Import'!G92,'Manual Input'!G92)</f>
        <v/>
      </c>
      <c r="H92" s="19" t="str">
        <f>IF('Start Here'!$B$8="Paste Import",'Paste Import'!H92,'Manual Input'!H92)</f>
        <v/>
      </c>
      <c r="I92" s="19" t="str">
        <f>IF(B92="","",IF(COUNTIF($B$6:$B$105,B92)&gt;1,"Duplicate",""))</f>
        <v/>
      </c>
      <c r="J92" s="19" t="str">
        <f>IF(COUNTA(A92:H92)=0,"",IF(OR(A92="",D92="",E92="",F92=""),"Incomplete",IF(F92="Unresolved","Review","OK")))</f>
        <v/>
      </c>
    </row>
    <row r="93" spans="1:10" x14ac:dyDescent="0.25">
      <c r="A93" s="18" t="str">
        <f>IF('Start Here'!$B$8="Paste Import",'Paste Import'!A93,'Manual Input'!A93)</f>
        <v/>
      </c>
      <c r="B93" s="19" t="str">
        <f>IF('Start Here'!$B$8="Paste Import",'Paste Import'!B93,'Manual Input'!B93)</f>
        <v/>
      </c>
      <c r="C93" s="19" t="str">
        <f>IF('Start Here'!$B$8="Paste Import",'Paste Import'!C93,'Manual Input'!C93)</f>
        <v/>
      </c>
      <c r="D93" s="20" t="str">
        <f>IF('Start Here'!$B$8="Paste Import",'Paste Import'!D93,'Manual Input'!D93)</f>
        <v/>
      </c>
      <c r="E93" s="19" t="str">
        <f>IF('Start Here'!$B$8="Paste Import",'Paste Import'!E93,'Manual Input'!E93)</f>
        <v/>
      </c>
      <c r="F93" s="19" t="str">
        <f>IF('Start Here'!$B$8="Paste Import",'Paste Import'!F93,'Manual Input'!F93)</f>
        <v/>
      </c>
      <c r="G93" s="19" t="str">
        <f>IF('Start Here'!$B$8="Paste Import",'Paste Import'!G93,'Manual Input'!G93)</f>
        <v/>
      </c>
      <c r="H93" s="19" t="str">
        <f>IF('Start Here'!$B$8="Paste Import",'Paste Import'!H93,'Manual Input'!H93)</f>
        <v/>
      </c>
      <c r="I93" s="19" t="str">
        <f>IF(B93="","",IF(COUNTIF($B$6:$B$105,B93)&gt;1,"Duplicate",""))</f>
        <v/>
      </c>
      <c r="J93" s="19" t="str">
        <f>IF(COUNTA(A93:H93)=0,"",IF(OR(A93="",D93="",E93="",F93=""),"Incomplete",IF(F93="Unresolved","Review","OK")))</f>
        <v/>
      </c>
    </row>
    <row r="94" spans="1:10" x14ac:dyDescent="0.25">
      <c r="A94" s="18" t="str">
        <f>IF('Start Here'!$B$8="Paste Import",'Paste Import'!A94,'Manual Input'!A94)</f>
        <v/>
      </c>
      <c r="B94" s="19" t="str">
        <f>IF('Start Here'!$B$8="Paste Import",'Paste Import'!B94,'Manual Input'!B94)</f>
        <v/>
      </c>
      <c r="C94" s="19" t="str">
        <f>IF('Start Here'!$B$8="Paste Import",'Paste Import'!C94,'Manual Input'!C94)</f>
        <v/>
      </c>
      <c r="D94" s="20" t="str">
        <f>IF('Start Here'!$B$8="Paste Import",'Paste Import'!D94,'Manual Input'!D94)</f>
        <v/>
      </c>
      <c r="E94" s="19" t="str">
        <f>IF('Start Here'!$B$8="Paste Import",'Paste Import'!E94,'Manual Input'!E94)</f>
        <v/>
      </c>
      <c r="F94" s="19" t="str">
        <f>IF('Start Here'!$B$8="Paste Import",'Paste Import'!F94,'Manual Input'!F94)</f>
        <v/>
      </c>
      <c r="G94" s="19" t="str">
        <f>IF('Start Here'!$B$8="Paste Import",'Paste Import'!G94,'Manual Input'!G94)</f>
        <v/>
      </c>
      <c r="H94" s="19" t="str">
        <f>IF('Start Here'!$B$8="Paste Import",'Paste Import'!H94,'Manual Input'!H94)</f>
        <v/>
      </c>
      <c r="I94" s="19" t="str">
        <f>IF(B94="","",IF(COUNTIF($B$6:$B$105,B94)&gt;1,"Duplicate",""))</f>
        <v/>
      </c>
      <c r="J94" s="19" t="str">
        <f>IF(COUNTA(A94:H94)=0,"",IF(OR(A94="",D94="",E94="",F94=""),"Incomplete",IF(F94="Unresolved","Review","OK")))</f>
        <v/>
      </c>
    </row>
    <row r="95" spans="1:10" x14ac:dyDescent="0.25">
      <c r="A95" s="18" t="str">
        <f>IF('Start Here'!$B$8="Paste Import",'Paste Import'!A95,'Manual Input'!A95)</f>
        <v/>
      </c>
      <c r="B95" s="19" t="str">
        <f>IF('Start Here'!$B$8="Paste Import",'Paste Import'!B95,'Manual Input'!B95)</f>
        <v/>
      </c>
      <c r="C95" s="19" t="str">
        <f>IF('Start Here'!$B$8="Paste Import",'Paste Import'!C95,'Manual Input'!C95)</f>
        <v/>
      </c>
      <c r="D95" s="20" t="str">
        <f>IF('Start Here'!$B$8="Paste Import",'Paste Import'!D95,'Manual Input'!D95)</f>
        <v/>
      </c>
      <c r="E95" s="19" t="str">
        <f>IF('Start Here'!$B$8="Paste Import",'Paste Import'!E95,'Manual Input'!E95)</f>
        <v/>
      </c>
      <c r="F95" s="19" t="str">
        <f>IF('Start Here'!$B$8="Paste Import",'Paste Import'!F95,'Manual Input'!F95)</f>
        <v/>
      </c>
      <c r="G95" s="19" t="str">
        <f>IF('Start Here'!$B$8="Paste Import",'Paste Import'!G95,'Manual Input'!G95)</f>
        <v/>
      </c>
      <c r="H95" s="19" t="str">
        <f>IF('Start Here'!$B$8="Paste Import",'Paste Import'!H95,'Manual Input'!H95)</f>
        <v/>
      </c>
      <c r="I95" s="19" t="str">
        <f>IF(B95="","",IF(COUNTIF($B$6:$B$105,B95)&gt;1,"Duplicate",""))</f>
        <v/>
      </c>
      <c r="J95" s="19" t="str">
        <f>IF(COUNTA(A95:H95)=0,"",IF(OR(A95="",D95="",E95="",F95=""),"Incomplete",IF(F95="Unresolved","Review","OK")))</f>
        <v/>
      </c>
    </row>
    <row r="96" spans="1:10" x14ac:dyDescent="0.25">
      <c r="A96" s="18" t="str">
        <f>IF('Start Here'!$B$8="Paste Import",'Paste Import'!A96,'Manual Input'!A96)</f>
        <v/>
      </c>
      <c r="B96" s="19" t="str">
        <f>IF('Start Here'!$B$8="Paste Import",'Paste Import'!B96,'Manual Input'!B96)</f>
        <v/>
      </c>
      <c r="C96" s="19" t="str">
        <f>IF('Start Here'!$B$8="Paste Import",'Paste Import'!C96,'Manual Input'!C96)</f>
        <v/>
      </c>
      <c r="D96" s="20" t="str">
        <f>IF('Start Here'!$B$8="Paste Import",'Paste Import'!D96,'Manual Input'!D96)</f>
        <v/>
      </c>
      <c r="E96" s="19" t="str">
        <f>IF('Start Here'!$B$8="Paste Import",'Paste Import'!E96,'Manual Input'!E96)</f>
        <v/>
      </c>
      <c r="F96" s="19" t="str">
        <f>IF('Start Here'!$B$8="Paste Import",'Paste Import'!F96,'Manual Input'!F96)</f>
        <v/>
      </c>
      <c r="G96" s="19" t="str">
        <f>IF('Start Here'!$B$8="Paste Import",'Paste Import'!G96,'Manual Input'!G96)</f>
        <v/>
      </c>
      <c r="H96" s="19" t="str">
        <f>IF('Start Here'!$B$8="Paste Import",'Paste Import'!H96,'Manual Input'!H96)</f>
        <v/>
      </c>
      <c r="I96" s="19" t="str">
        <f>IF(B96="","",IF(COUNTIF($B$6:$B$105,B96)&gt;1,"Duplicate",""))</f>
        <v/>
      </c>
      <c r="J96" s="19" t="str">
        <f>IF(COUNTA(A96:H96)=0,"",IF(OR(A96="",D96="",E96="",F96=""),"Incomplete",IF(F96="Unresolved","Review","OK")))</f>
        <v/>
      </c>
    </row>
    <row r="97" spans="1:10" x14ac:dyDescent="0.25">
      <c r="A97" s="18" t="str">
        <f>IF('Start Here'!$B$8="Paste Import",'Paste Import'!A97,'Manual Input'!A97)</f>
        <v/>
      </c>
      <c r="B97" s="19" t="str">
        <f>IF('Start Here'!$B$8="Paste Import",'Paste Import'!B97,'Manual Input'!B97)</f>
        <v/>
      </c>
      <c r="C97" s="19" t="str">
        <f>IF('Start Here'!$B$8="Paste Import",'Paste Import'!C97,'Manual Input'!C97)</f>
        <v/>
      </c>
      <c r="D97" s="20" t="str">
        <f>IF('Start Here'!$B$8="Paste Import",'Paste Import'!D97,'Manual Input'!D97)</f>
        <v/>
      </c>
      <c r="E97" s="19" t="str">
        <f>IF('Start Here'!$B$8="Paste Import",'Paste Import'!E97,'Manual Input'!E97)</f>
        <v/>
      </c>
      <c r="F97" s="19" t="str">
        <f>IF('Start Here'!$B$8="Paste Import",'Paste Import'!F97,'Manual Input'!F97)</f>
        <v/>
      </c>
      <c r="G97" s="19" t="str">
        <f>IF('Start Here'!$B$8="Paste Import",'Paste Import'!G97,'Manual Input'!G97)</f>
        <v/>
      </c>
      <c r="H97" s="19" t="str">
        <f>IF('Start Here'!$B$8="Paste Import",'Paste Import'!H97,'Manual Input'!H97)</f>
        <v/>
      </c>
      <c r="I97" s="19" t="str">
        <f>IF(B97="","",IF(COUNTIF($B$6:$B$105,B97)&gt;1,"Duplicate",""))</f>
        <v/>
      </c>
      <c r="J97" s="19" t="str">
        <f>IF(COUNTA(A97:H97)=0,"",IF(OR(A97="",D97="",E97="",F97=""),"Incomplete",IF(F97="Unresolved","Review","OK")))</f>
        <v/>
      </c>
    </row>
    <row r="98" spans="1:10" x14ac:dyDescent="0.25">
      <c r="A98" s="18" t="str">
        <f>IF('Start Here'!$B$8="Paste Import",'Paste Import'!A98,'Manual Input'!A98)</f>
        <v/>
      </c>
      <c r="B98" s="19" t="str">
        <f>IF('Start Here'!$B$8="Paste Import",'Paste Import'!B98,'Manual Input'!B98)</f>
        <v/>
      </c>
      <c r="C98" s="19" t="str">
        <f>IF('Start Here'!$B$8="Paste Import",'Paste Import'!C98,'Manual Input'!C98)</f>
        <v/>
      </c>
      <c r="D98" s="20" t="str">
        <f>IF('Start Here'!$B$8="Paste Import",'Paste Import'!D98,'Manual Input'!D98)</f>
        <v/>
      </c>
      <c r="E98" s="19" t="str">
        <f>IF('Start Here'!$B$8="Paste Import",'Paste Import'!E98,'Manual Input'!E98)</f>
        <v/>
      </c>
      <c r="F98" s="19" t="str">
        <f>IF('Start Here'!$B$8="Paste Import",'Paste Import'!F98,'Manual Input'!F98)</f>
        <v/>
      </c>
      <c r="G98" s="19" t="str">
        <f>IF('Start Here'!$B$8="Paste Import",'Paste Import'!G98,'Manual Input'!G98)</f>
        <v/>
      </c>
      <c r="H98" s="19" t="str">
        <f>IF('Start Here'!$B$8="Paste Import",'Paste Import'!H98,'Manual Input'!H98)</f>
        <v/>
      </c>
      <c r="I98" s="19" t="str">
        <f>IF(B98="","",IF(COUNTIF($B$6:$B$105,B98)&gt;1,"Duplicate",""))</f>
        <v/>
      </c>
      <c r="J98" s="19" t="str">
        <f>IF(COUNTA(A98:H98)=0,"",IF(OR(A98="",D98="",E98="",F98=""),"Incomplete",IF(F98="Unresolved","Review","OK")))</f>
        <v/>
      </c>
    </row>
    <row r="99" spans="1:10" x14ac:dyDescent="0.25">
      <c r="A99" s="18" t="str">
        <f>IF('Start Here'!$B$8="Paste Import",'Paste Import'!A99,'Manual Input'!A99)</f>
        <v/>
      </c>
      <c r="B99" s="19" t="str">
        <f>IF('Start Here'!$B$8="Paste Import",'Paste Import'!B99,'Manual Input'!B99)</f>
        <v/>
      </c>
      <c r="C99" s="19" t="str">
        <f>IF('Start Here'!$B$8="Paste Import",'Paste Import'!C99,'Manual Input'!C99)</f>
        <v/>
      </c>
      <c r="D99" s="20" t="str">
        <f>IF('Start Here'!$B$8="Paste Import",'Paste Import'!D99,'Manual Input'!D99)</f>
        <v/>
      </c>
      <c r="E99" s="19" t="str">
        <f>IF('Start Here'!$B$8="Paste Import",'Paste Import'!E99,'Manual Input'!E99)</f>
        <v/>
      </c>
      <c r="F99" s="19" t="str">
        <f>IF('Start Here'!$B$8="Paste Import",'Paste Import'!F99,'Manual Input'!F99)</f>
        <v/>
      </c>
      <c r="G99" s="19" t="str">
        <f>IF('Start Here'!$B$8="Paste Import",'Paste Import'!G99,'Manual Input'!G99)</f>
        <v/>
      </c>
      <c r="H99" s="19" t="str">
        <f>IF('Start Here'!$B$8="Paste Import",'Paste Import'!H99,'Manual Input'!H99)</f>
        <v/>
      </c>
      <c r="I99" s="19" t="str">
        <f>IF(B99="","",IF(COUNTIF($B$6:$B$105,B99)&gt;1,"Duplicate",""))</f>
        <v/>
      </c>
      <c r="J99" s="19" t="str">
        <f>IF(COUNTA(A99:H99)=0,"",IF(OR(A99="",D99="",E99="",F99=""),"Incomplete",IF(F99="Unresolved","Review","OK")))</f>
        <v/>
      </c>
    </row>
    <row r="100" spans="1:10" x14ac:dyDescent="0.25">
      <c r="A100" s="18" t="str">
        <f>IF('Start Here'!$B$8="Paste Import",'Paste Import'!A100,'Manual Input'!A100)</f>
        <v/>
      </c>
      <c r="B100" s="19" t="str">
        <f>IF('Start Here'!$B$8="Paste Import",'Paste Import'!B100,'Manual Input'!B100)</f>
        <v/>
      </c>
      <c r="C100" s="19" t="str">
        <f>IF('Start Here'!$B$8="Paste Import",'Paste Import'!C100,'Manual Input'!C100)</f>
        <v/>
      </c>
      <c r="D100" s="20" t="str">
        <f>IF('Start Here'!$B$8="Paste Import",'Paste Import'!D100,'Manual Input'!D100)</f>
        <v/>
      </c>
      <c r="E100" s="19" t="str">
        <f>IF('Start Here'!$B$8="Paste Import",'Paste Import'!E100,'Manual Input'!E100)</f>
        <v/>
      </c>
      <c r="F100" s="19" t="str">
        <f>IF('Start Here'!$B$8="Paste Import",'Paste Import'!F100,'Manual Input'!F100)</f>
        <v/>
      </c>
      <c r="G100" s="19" t="str">
        <f>IF('Start Here'!$B$8="Paste Import",'Paste Import'!G100,'Manual Input'!G100)</f>
        <v/>
      </c>
      <c r="H100" s="19" t="str">
        <f>IF('Start Here'!$B$8="Paste Import",'Paste Import'!H100,'Manual Input'!H100)</f>
        <v/>
      </c>
      <c r="I100" s="19" t="str">
        <f>IF(B100="","",IF(COUNTIF($B$6:$B$105,B100)&gt;1,"Duplicate",""))</f>
        <v/>
      </c>
      <c r="J100" s="19" t="str">
        <f>IF(COUNTA(A100:H100)=0,"",IF(OR(A100="",D100="",E100="",F100=""),"Incomplete",IF(F100="Unresolved","Review","OK")))</f>
        <v/>
      </c>
    </row>
    <row r="101" spans="1:10" x14ac:dyDescent="0.25">
      <c r="A101" s="18" t="str">
        <f>IF('Start Here'!$B$8="Paste Import",'Paste Import'!A101,'Manual Input'!A101)</f>
        <v/>
      </c>
      <c r="B101" s="19" t="str">
        <f>IF('Start Here'!$B$8="Paste Import",'Paste Import'!B101,'Manual Input'!B101)</f>
        <v/>
      </c>
      <c r="C101" s="19" t="str">
        <f>IF('Start Here'!$B$8="Paste Import",'Paste Import'!C101,'Manual Input'!C101)</f>
        <v/>
      </c>
      <c r="D101" s="20" t="str">
        <f>IF('Start Here'!$B$8="Paste Import",'Paste Import'!D101,'Manual Input'!D101)</f>
        <v/>
      </c>
      <c r="E101" s="19" t="str">
        <f>IF('Start Here'!$B$8="Paste Import",'Paste Import'!E101,'Manual Input'!E101)</f>
        <v/>
      </c>
      <c r="F101" s="19" t="str">
        <f>IF('Start Here'!$B$8="Paste Import",'Paste Import'!F101,'Manual Input'!F101)</f>
        <v/>
      </c>
      <c r="G101" s="19" t="str">
        <f>IF('Start Here'!$B$8="Paste Import",'Paste Import'!G101,'Manual Input'!G101)</f>
        <v/>
      </c>
      <c r="H101" s="19" t="str">
        <f>IF('Start Here'!$B$8="Paste Import",'Paste Import'!H101,'Manual Input'!H101)</f>
        <v/>
      </c>
      <c r="I101" s="19" t="str">
        <f>IF(B101="","",IF(COUNTIF($B$6:$B$105,B101)&gt;1,"Duplicate",""))</f>
        <v/>
      </c>
      <c r="J101" s="19" t="str">
        <f>IF(COUNTA(A101:H101)=0,"",IF(OR(A101="",D101="",E101="",F101=""),"Incomplete",IF(F101="Unresolved","Review","OK")))</f>
        <v/>
      </c>
    </row>
    <row r="102" spans="1:10" x14ac:dyDescent="0.25">
      <c r="A102" s="18" t="str">
        <f>IF('Start Here'!$B$8="Paste Import",'Paste Import'!A102,'Manual Input'!A102)</f>
        <v/>
      </c>
      <c r="B102" s="19" t="str">
        <f>IF('Start Here'!$B$8="Paste Import",'Paste Import'!B102,'Manual Input'!B102)</f>
        <v/>
      </c>
      <c r="C102" s="19" t="str">
        <f>IF('Start Here'!$B$8="Paste Import",'Paste Import'!C102,'Manual Input'!C102)</f>
        <v/>
      </c>
      <c r="D102" s="20" t="str">
        <f>IF('Start Here'!$B$8="Paste Import",'Paste Import'!D102,'Manual Input'!D102)</f>
        <v/>
      </c>
      <c r="E102" s="19" t="str">
        <f>IF('Start Here'!$B$8="Paste Import",'Paste Import'!E102,'Manual Input'!E102)</f>
        <v/>
      </c>
      <c r="F102" s="19" t="str">
        <f>IF('Start Here'!$B$8="Paste Import",'Paste Import'!F102,'Manual Input'!F102)</f>
        <v/>
      </c>
      <c r="G102" s="19" t="str">
        <f>IF('Start Here'!$B$8="Paste Import",'Paste Import'!G102,'Manual Input'!G102)</f>
        <v/>
      </c>
      <c r="H102" s="19" t="str">
        <f>IF('Start Here'!$B$8="Paste Import",'Paste Import'!H102,'Manual Input'!H102)</f>
        <v/>
      </c>
      <c r="I102" s="19" t="str">
        <f>IF(B102="","",IF(COUNTIF($B$6:$B$105,B102)&gt;1,"Duplicate",""))</f>
        <v/>
      </c>
      <c r="J102" s="19" t="str">
        <f>IF(COUNTA(A102:H102)=0,"",IF(OR(A102="",D102="",E102="",F102=""),"Incomplete",IF(F102="Unresolved","Review","OK")))</f>
        <v/>
      </c>
    </row>
    <row r="103" spans="1:10" x14ac:dyDescent="0.25">
      <c r="A103" s="18" t="str">
        <f>IF('Start Here'!$B$8="Paste Import",'Paste Import'!A103,'Manual Input'!A103)</f>
        <v/>
      </c>
      <c r="B103" s="19" t="str">
        <f>IF('Start Here'!$B$8="Paste Import",'Paste Import'!B103,'Manual Input'!B103)</f>
        <v/>
      </c>
      <c r="C103" s="19" t="str">
        <f>IF('Start Here'!$B$8="Paste Import",'Paste Import'!C103,'Manual Input'!C103)</f>
        <v/>
      </c>
      <c r="D103" s="20" t="str">
        <f>IF('Start Here'!$B$8="Paste Import",'Paste Import'!D103,'Manual Input'!D103)</f>
        <v/>
      </c>
      <c r="E103" s="19" t="str">
        <f>IF('Start Here'!$B$8="Paste Import",'Paste Import'!E103,'Manual Input'!E103)</f>
        <v/>
      </c>
      <c r="F103" s="19" t="str">
        <f>IF('Start Here'!$B$8="Paste Import",'Paste Import'!F103,'Manual Input'!F103)</f>
        <v/>
      </c>
      <c r="G103" s="19" t="str">
        <f>IF('Start Here'!$B$8="Paste Import",'Paste Import'!G103,'Manual Input'!G103)</f>
        <v/>
      </c>
      <c r="H103" s="19" t="str">
        <f>IF('Start Here'!$B$8="Paste Import",'Paste Import'!H103,'Manual Input'!H103)</f>
        <v/>
      </c>
      <c r="I103" s="19" t="str">
        <f>IF(B103="","",IF(COUNTIF($B$6:$B$105,B103)&gt;1,"Duplicate",""))</f>
        <v/>
      </c>
      <c r="J103" s="19" t="str">
        <f>IF(COUNTA(A103:H103)=0,"",IF(OR(A103="",D103="",E103="",F103=""),"Incomplete",IF(F103="Unresolved","Review","OK")))</f>
        <v/>
      </c>
    </row>
    <row r="104" spans="1:10" x14ac:dyDescent="0.25">
      <c r="A104" s="18" t="str">
        <f>IF('Start Here'!$B$8="Paste Import",'Paste Import'!A104,'Manual Input'!A104)</f>
        <v/>
      </c>
      <c r="B104" s="19" t="str">
        <f>IF('Start Here'!$B$8="Paste Import",'Paste Import'!B104,'Manual Input'!B104)</f>
        <v/>
      </c>
      <c r="C104" s="19" t="str">
        <f>IF('Start Here'!$B$8="Paste Import",'Paste Import'!C104,'Manual Input'!C104)</f>
        <v/>
      </c>
      <c r="D104" s="20" t="str">
        <f>IF('Start Here'!$B$8="Paste Import",'Paste Import'!D104,'Manual Input'!D104)</f>
        <v/>
      </c>
      <c r="E104" s="19" t="str">
        <f>IF('Start Here'!$B$8="Paste Import",'Paste Import'!E104,'Manual Input'!E104)</f>
        <v/>
      </c>
      <c r="F104" s="19" t="str">
        <f>IF('Start Here'!$B$8="Paste Import",'Paste Import'!F104,'Manual Input'!F104)</f>
        <v/>
      </c>
      <c r="G104" s="19" t="str">
        <f>IF('Start Here'!$B$8="Paste Import",'Paste Import'!G104,'Manual Input'!G104)</f>
        <v/>
      </c>
      <c r="H104" s="19" t="str">
        <f>IF('Start Here'!$B$8="Paste Import",'Paste Import'!H104,'Manual Input'!H104)</f>
        <v/>
      </c>
      <c r="I104" s="19" t="str">
        <f>IF(B104="","",IF(COUNTIF($B$6:$B$105,B104)&gt;1,"Duplicate",""))</f>
        <v/>
      </c>
      <c r="J104" s="19" t="str">
        <f>IF(COUNTA(A104:H104)=0,"",IF(OR(A104="",D104="",E104="",F104=""),"Incomplete",IF(F104="Unresolved","Review","OK")))</f>
        <v/>
      </c>
    </row>
    <row r="105" spans="1:10" x14ac:dyDescent="0.25">
      <c r="A105" s="18" t="str">
        <f>IF('Start Here'!$B$8="Paste Import",'Paste Import'!A105,'Manual Input'!A105)</f>
        <v/>
      </c>
      <c r="B105" s="19" t="str">
        <f>IF('Start Here'!$B$8="Paste Import",'Paste Import'!B105,'Manual Input'!B105)</f>
        <v/>
      </c>
      <c r="C105" s="19" t="str">
        <f>IF('Start Here'!$B$8="Paste Import",'Paste Import'!C105,'Manual Input'!C105)</f>
        <v/>
      </c>
      <c r="D105" s="20" t="str">
        <f>IF('Start Here'!$B$8="Paste Import",'Paste Import'!D105,'Manual Input'!D105)</f>
        <v/>
      </c>
      <c r="E105" s="19" t="str">
        <f>IF('Start Here'!$B$8="Paste Import",'Paste Import'!E105,'Manual Input'!E105)</f>
        <v/>
      </c>
      <c r="F105" s="19" t="str">
        <f>IF('Start Here'!$B$8="Paste Import",'Paste Import'!F105,'Manual Input'!F105)</f>
        <v/>
      </c>
      <c r="G105" s="19" t="str">
        <f>IF('Start Here'!$B$8="Paste Import",'Paste Import'!G105,'Manual Input'!G105)</f>
        <v/>
      </c>
      <c r="H105" s="19" t="str">
        <f>IF('Start Here'!$B$8="Paste Import",'Paste Import'!H105,'Manual Input'!H105)</f>
        <v/>
      </c>
      <c r="I105" s="19" t="str">
        <f>IF(B105="","",IF(COUNTIF($B$6:$B$105,B105)&gt;1,"Duplicate",""))</f>
        <v/>
      </c>
      <c r="J105" s="19" t="str">
        <f>IF(COUNTA(A105:H105)=0,"",IF(OR(A105="",D105="",E105="",F105=""),"Incomplete",IF(F105="Unresolved","Review","OK")))</f>
        <v/>
      </c>
    </row>
  </sheetData>
  <autoFilter ref="A5:J105"/>
  <mergeCells count="2">
    <mergeCell ref="A1:J2"/>
    <mergeCell ref="A4:J4"/>
  </mergeCells>
  <conditionalFormatting sqref="I6:I105">
    <cfRule type="containsText" dxfId="0" priority="1">
      <formula>NOT(ISERROR(SEARCH("Duplicate",I6)))</formula>
    </cfRule>
  </conditionalFormatting>
  <conditionalFormatting sqref="J6:J105">
    <cfRule type="containsText" dxfId="1" priority="2">
      <formula>NOT(ISERROR(SEARCH("Review",J6)))</formula>
    </cfRule>
    <cfRule type="containsText" dxfId="2" priority="3">
      <formula>NOT(ISERROR(SEARCH("Incomplete",J6)))</formula>
    </cfRule>
    <cfRule type="containsText" dxfId="3" priority="4">
      <formula>NOT(ISERROR(SEARCH("OK",J6)))</formula>
    </cfRule>
  </conditionalFormatting>
  <pageSetup orientation="landscape" fitToWidth="1" fitToHeight="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H24"/>
  <sheetViews>
    <sheetView workbookViewId="0" showGridLines="0"/>
  </sheetViews>
  <sheetFormatPr defaultRowHeight="15" outlineLevelRow="0" outlineLevelCol="0" x14ac:dyDescent="55"/>
  <cols>
    <col min="1" max="1" width="16" customWidth="1"/>
    <col min="2" max="2" width="24" customWidth="1"/>
    <col min="3" max="4" width="20" customWidth="1"/>
    <col min="5" max="6" width="18" customWidth="1"/>
    <col min="7" max="7" width="19" customWidth="1"/>
    <col min="8" max="8" width="22" customWidth="1"/>
  </cols>
  <sheetData>
    <row r="1" ht="30" customHeight="1" spans="1:8" x14ac:dyDescent="0.25">
      <c r="A1" s="1" t="s">
        <v>72</v>
      </c>
      <c r="B1" s="1"/>
      <c r="C1" s="1"/>
      <c r="D1" s="1"/>
      <c r="E1" s="1"/>
      <c r="F1" s="1"/>
      <c r="G1" s="1"/>
      <c r="H1" s="1"/>
    </row>
    <row r="2" spans="1:8" x14ac:dyDescent="0.25">
      <c r="A2" s="1"/>
      <c r="B2" s="1"/>
      <c r="C2" s="1"/>
      <c r="D2" s="1"/>
      <c r="E2" s="1"/>
      <c r="F2" s="1"/>
      <c r="G2" s="1"/>
      <c r="H2" s="1"/>
    </row>
    <row r="3" spans="1:8" x14ac:dyDescent="0.25">
      <c r="A3" s="17" t="s">
        <v>73</v>
      </c>
      <c r="B3" s="17"/>
      <c r="C3" s="17"/>
      <c r="D3" s="17"/>
      <c r="E3" s="17"/>
      <c r="F3" s="17"/>
      <c r="G3" s="17"/>
      <c r="H3" s="17"/>
    </row>
    <row r="4" spans="1:8" x14ac:dyDescent="0.25"/>
    <row r="5" spans="1:8" x14ac:dyDescent="0.25">
      <c r="A5" s="24" t="s">
        <v>74</v>
      </c>
      <c r="B5" s="24" t="str">
        <f>'Start Here'!B4</f>
        <v>Northstar Components LLC</v>
      </c>
      <c r="C5" s="24" t="s">
        <v>5</v>
      </c>
      <c r="D5" s="25">
        <f>IF('Start Here'!$B$8="Paste Import",'Paste Import'!B4,'Manual Input'!B4)</f>
        <v>46203</v>
      </c>
      <c r="E5" s="24" t="s">
        <v>6</v>
      </c>
      <c r="F5" s="24" t="str">
        <f>'Start Here'!B7</f>
        <v>Taylor Morgan</v>
      </c>
      <c r="G5" s="24" t="s">
        <v>75</v>
      </c>
      <c r="H5" s="26" t="str">
        <f>IF(AND(ABS(F15)&lt;='Start Here'!$B$11,B18=0),"Complete","Review")</f>
        <v>Review</v>
      </c>
    </row>
    <row r="6" spans="1:8" x14ac:dyDescent="0.25"/>
    <row r="7" spans="1:8" x14ac:dyDescent="0.25"/>
    <row r="8" spans="1:8" x14ac:dyDescent="0.25">
      <c r="A8" s="27" t="s">
        <v>28</v>
      </c>
      <c r="B8" s="24"/>
      <c r="C8" s="27" t="s">
        <v>30</v>
      </c>
    </row>
    <row r="9" spans="1:8" x14ac:dyDescent="0.25">
      <c r="A9" s="24"/>
      <c r="B9" s="28">
        <f>IF('Start Here'!$B$8="Paste Import",'Paste Import'!B2,'Manual Input'!B2)</f>
        <v>51200</v>
      </c>
      <c r="C9" s="24"/>
      <c r="D9" s="28">
        <f>IF('Start Here'!$B$8="Paste Import",'Paste Import'!B3,'Manual Input'!B3)</f>
        <v>50000</v>
      </c>
    </row>
    <row r="10" spans="1:8" x14ac:dyDescent="0.25"/>
    <row r="11" spans="1:8" x14ac:dyDescent="0.25">
      <c r="A11" s="27" t="s">
        <v>76</v>
      </c>
      <c r="B11" s="24"/>
      <c r="C11" s="27" t="s">
        <v>77</v>
      </c>
      <c r="D11" s="24"/>
      <c r="E11" s="27" t="s">
        <v>78</v>
      </c>
      <c r="F11" s="24"/>
      <c r="G11" s="27" t="s">
        <v>79</v>
      </c>
    </row>
    <row r="12" spans="1:8" x14ac:dyDescent="0.25">
      <c r="A12" s="24"/>
      <c r="B12" s="28">
        <f>SUMIFS('Review'!$D$6:$D$105,'Review'!$F$6:$F$105,"Outstanding Check")</f>
        <v>2500</v>
      </c>
      <c r="C12" s="24"/>
      <c r="D12" s="28">
        <f>SUMIFS('Review'!$D$6:$D$105,'Review'!$F$6:$F$105,"Deposit in Transit")</f>
        <v>3000</v>
      </c>
      <c r="E12" s="24"/>
      <c r="F12" s="28">
        <f>SUMIFS('Review'!$D$6:$D$105,'Review'!$F$6:$F$105,"Bank Adjustment")</f>
        <v>-50</v>
      </c>
      <c r="G12" s="24"/>
      <c r="H12" s="28">
        <f>SUMIFS('Review'!$D$6:$D$105,'Review'!$F$6:$F$105,"Book Adjustment")</f>
        <v>1650</v>
      </c>
    </row>
    <row r="13" spans="1:8" x14ac:dyDescent="0.25"/>
    <row r="14" spans="1:8" x14ac:dyDescent="0.25">
      <c r="A14" s="27" t="s">
        <v>80</v>
      </c>
      <c r="B14" s="24"/>
      <c r="C14" s="27" t="s">
        <v>81</v>
      </c>
      <c r="D14" s="24"/>
      <c r="E14" s="27" t="s">
        <v>82</v>
      </c>
    </row>
    <row r="15" spans="1:8" x14ac:dyDescent="0.25">
      <c r="A15" s="24"/>
      <c r="B15" s="28">
        <f>B9-B12+D12+F12</f>
        <v>51650</v>
      </c>
      <c r="C15" s="24"/>
      <c r="D15" s="28">
        <f>D9+H12</f>
        <v>51650</v>
      </c>
      <c r="E15" s="24"/>
      <c r="F15" s="28" t="str">
        <f>B15-D15</f>
        <v>0</v>
      </c>
    </row>
    <row r="16" spans="1:8" x14ac:dyDescent="0.25"/>
    <row r="17" spans="1:8" x14ac:dyDescent="0.25">
      <c r="A17" s="27" t="s">
        <v>83</v>
      </c>
      <c r="B17" s="24"/>
      <c r="C17" s="27" t="s">
        <v>84</v>
      </c>
    </row>
    <row r="18" spans="1:8" x14ac:dyDescent="0.25">
      <c r="A18" s="24"/>
      <c r="B18" s="29">
        <f>COUNTIF('Review'!$F$6:$F$105,"Unresolved")</f>
        <v>1</v>
      </c>
      <c r="C18" s="24"/>
      <c r="D18" s="28">
        <f>SUMIFS('Review'!$D$6:$D$105,'Review'!$F$6:$F$105,"Unresolved")</f>
        <v>75</v>
      </c>
    </row>
    <row r="19" spans="1:8" x14ac:dyDescent="0.25"/>
    <row r="20" spans="1:8" x14ac:dyDescent="0.25">
      <c r="A20" s="30" t="s">
        <v>85</v>
      </c>
      <c r="B20" s="30"/>
      <c r="C20" s="30"/>
      <c r="D20" s="30"/>
      <c r="E20" s="30"/>
      <c r="F20" s="30"/>
      <c r="G20" s="30"/>
      <c r="H20" s="30"/>
    </row>
    <row r="21" spans="1:8" x14ac:dyDescent="0.25">
      <c r="A21" s="31" t="s">
        <v>86</v>
      </c>
      <c r="B21" s="31"/>
      <c r="C21" s="31"/>
      <c r="D21" s="31"/>
      <c r="E21" s="31"/>
      <c r="F21" s="31"/>
      <c r="G21" s="31"/>
      <c r="H21" s="31"/>
    </row>
    <row r="22" spans="1:8" x14ac:dyDescent="0.25">
      <c r="A22" s="31"/>
      <c r="B22" s="31"/>
      <c r="C22" s="31"/>
      <c r="D22" s="31"/>
      <c r="E22" s="31"/>
      <c r="F22" s="31"/>
      <c r="G22" s="31"/>
      <c r="H22" s="31"/>
    </row>
    <row r="23" spans="1:8" x14ac:dyDescent="0.25">
      <c r="A23" s="31"/>
      <c r="B23" s="31"/>
      <c r="C23" s="31"/>
      <c r="D23" s="31"/>
      <c r="E23" s="31"/>
      <c r="F23" s="31"/>
      <c r="G23" s="31"/>
      <c r="H23" s="31"/>
    </row>
    <row r="24" spans="1:8" x14ac:dyDescent="0.25"/>
  </sheetData>
  <mergeCells count="4">
    <mergeCell ref="A1:H2"/>
    <mergeCell ref="A3:H3"/>
    <mergeCell ref="A20:H20"/>
    <mergeCell ref="A21:H23"/>
  </mergeCells>
  <pageMargins left="0.25" right="0.25" top="0.4" bottom="0.4" header="0.1" footer="0.1"/>
  <pageSetup paperSize="9" orientation="landscape" fitToWidth="1" fitToHeight="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7"/>
  <sheetViews>
    <sheetView workbookViewId="0" showGridLines="0"/>
  </sheetViews>
  <sheetFormatPr defaultRowHeight="15" outlineLevelRow="0" outlineLevelCol="0" x14ac:dyDescent="55"/>
  <cols>
    <col min="1" max="1" width="18" customWidth="1"/>
    <col min="2" max="2" width="25" customWidth="1"/>
    <col min="3" max="3" width="19" customWidth="1"/>
    <col min="4" max="4" width="18" customWidth="1"/>
  </cols>
  <sheetData>
    <row r="1" ht="30" customHeight="1" spans="1:4" s="8" customFormat="1" x14ac:dyDescent="0.25">
      <c r="A1" s="8" t="s">
        <v>35</v>
      </c>
      <c r="B1" s="8" t="s">
        <v>36</v>
      </c>
      <c r="C1" s="8" t="s">
        <v>37</v>
      </c>
      <c r="D1" s="8" t="s">
        <v>9</v>
      </c>
    </row>
    <row r="2" spans="1:4" x14ac:dyDescent="0.25">
      <c r="A2" t="s">
        <v>51</v>
      </c>
      <c r="B2" t="s">
        <v>53</v>
      </c>
      <c r="C2" t="s">
        <v>43</v>
      </c>
      <c r="D2" t="s">
        <v>10</v>
      </c>
    </row>
    <row r="3" spans="1:4" x14ac:dyDescent="0.25">
      <c r="A3" t="s">
        <v>41</v>
      </c>
      <c r="B3" t="s">
        <v>42</v>
      </c>
      <c r="C3" t="s">
        <v>53</v>
      </c>
      <c r="D3" t="s">
        <v>87</v>
      </c>
    </row>
    <row r="4" spans="1:4" x14ac:dyDescent="0.25">
      <c r="B4" t="s">
        <v>47</v>
      </c>
    </row>
    <row r="5" spans="1:4" x14ac:dyDescent="0.25">
      <c r="B5" t="s">
        <v>52</v>
      </c>
    </row>
    <row r="6" spans="1:4" x14ac:dyDescent="0.25">
      <c r="B6" t="s">
        <v>57</v>
      </c>
    </row>
    <row r="7" spans="1:4" x14ac:dyDescent="0.25">
      <c r="B7" t="s">
        <v>61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Start Here</vt:lpstr>
      <vt:lpstr>Paste Import</vt:lpstr>
      <vt:lpstr>Manual Input</vt:lpstr>
      <vt:lpstr>Review</vt:lpstr>
      <vt:lpstr>Summary</vt:lpstr>
      <vt:lpstr>Lists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FinBoard</dc:creator>
  <dc:title/>
  <dc:subject/>
  <dc:description/>
  <cp:keywords/>
  <cp:category/>
  <cp:lastModifiedBy>Unknown</cp:lastModifiedBy>
  <dcterms:created xsi:type="dcterms:W3CDTF">2026-07-22T00:00:00Z</dcterms:created>
  <dcterms:modified xsi:type="dcterms:W3CDTF">2026-07-22T13:42:44Z</dcterms:modified>
</cp:coreProperties>
</file>