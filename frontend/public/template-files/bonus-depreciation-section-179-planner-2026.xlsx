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Asset Pla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i val="1"/>
      <color rgb="00C00000"/>
    </font>
    <font>
      <b val="1"/>
    </font>
    <font>
      <i val="1"/>
      <color rgb="00808080"/>
    </font>
    <font>
      <b val="1"/>
      <color rgb="00FFFFFF"/>
      <sz val="11"/>
    </font>
    <font>
      <i val="1"/>
      <color rgb="00595959"/>
      <sz val="9"/>
    </font>
    <font>
      <i val="1"/>
      <color rgb="00808080"/>
      <sz val="9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FFF9E6"/>
        <bgColor rgb="00FFF9E6"/>
      </patternFill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" fontId="0" fillId="2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6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166" fontId="0" fillId="2" borderId="1" pivotButton="0" quotePrefix="0" xfId="0"/>
    <xf numFmtId="164" fontId="0" fillId="2" borderId="1" pivotButton="0" quotePrefix="0" xfId="0"/>
    <xf numFmtId="9" fontId="0" fillId="2" borderId="1" pivotButton="0" quotePrefix="0" xfId="0"/>
    <xf numFmtId="0" fontId="7" fillId="0" borderId="1" applyAlignment="1" pivotButton="0" quotePrefix="0" xfId="0">
      <alignment vertical="top" wrapText="1"/>
    </xf>
    <xf numFmtId="0" fontId="4" fillId="4" borderId="1" pivotButton="0" quotePrefix="0" xfId="0"/>
    <xf numFmtId="0" fontId="0" fillId="4" borderId="1" pivotButton="0" quotePrefix="0" xfId="0"/>
    <xf numFmtId="164" fontId="4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8" fillId="0" borderId="0" pivotButton="0" quotePrefix="0" xfId="0"/>
    <xf numFmtId="0" fontId="9" fillId="6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Bonus Depreciation and Section 179 Planner (OBBBA 2026)</t>
        </is>
      </c>
    </row>
    <row r="2"/>
    <row r="3">
      <c r="B3" s="2" t="inlineStr">
        <is>
          <t>What changed under OBBBA</t>
        </is>
      </c>
    </row>
    <row r="4" ht="45" customHeight="1">
      <c r="B4" s="3" t="inlineStr">
        <is>
          <t>The One Big Beautiful Bill Act (OBBBA), signed July 4, 2025, permanently restored 100% bonus depreciation for qualified property acquired and placed in service after January 19, 2025. The phase-down that had bonus at 40% for 2025 no longer applies to qualifying property.</t>
        </is>
      </c>
    </row>
    <row r="5" ht="60" customHeight="1">
      <c r="B5" s="3" t="inlineStr">
        <is>
          <t>OBBBA also raised the Section 179 expensing limit to $2,500,000 with a $4,000,000 phase-out threshold for tax years beginning in 2025. Both amounts are inflation-indexed: for 2026 they are $2,560,000 and $4,090,000. The Section 179 deduction phases out dollar for dollar once total qualifying property placed in service exceeds the threshold.</t>
        </is>
      </c>
    </row>
    <row r="6" ht="30" customHeight="1">
      <c r="B6" s="3" t="inlineStr">
        <is>
          <t>State conformity varies. California and New York notably decouple from federal bonus depreciation, so your state depreciation schedule may differ from the federal numbers this planner computes.</t>
        </is>
      </c>
    </row>
    <row r="7"/>
    <row r="8">
      <c r="B8" s="2" t="inlineStr">
        <is>
          <t>How to use this planner</t>
        </is>
      </c>
    </row>
    <row r="9" ht="30" customHeight="1">
      <c r="B9" s="3" t="inlineStr">
        <is>
          <t>1. On the Settings sheet, pick your tax year (2025 or 2026) in the yellow cell. The Section 179 limit and phase-out threshold update automatically.</t>
        </is>
      </c>
    </row>
    <row r="10" ht="30" customHeight="1">
      <c r="B10" s="3" t="inlineStr">
        <is>
          <t>2. On the Asset Planner sheet, enter each planned asset purchase in the yellow cells: description, date placed in service, cost, recovery period (dropdown: 3, 5, 7, or 15 years), and business use %.</t>
        </is>
      </c>
    </row>
    <row r="11" ht="45" customHeight="1">
      <c r="B11" s="3" t="inlineStr">
        <is>
          <t>3. Pick an election for each asset from the dropdown: Bonus 100%, Section 179, or MACRS only. Eligible Basis and First-Year Deduction compute automatically. MACRS only uses the half-year convention first-year rate for the asset's recovery period.</t>
        </is>
      </c>
    </row>
    <row r="12" ht="45" customHeight="1">
      <c r="B12" s="3" t="inlineStr">
        <is>
          <t>4. Check the Section 179 limit check block below the totals row. It totals your Section 179 elections, applies the year's limit and the phase-out reduction, and shows remaining capacity. If you are over the limit, the warning cell tells you to shift the excess to Bonus.</t>
        </is>
      </c>
    </row>
    <row r="13"/>
    <row r="14">
      <c r="B14" s="2" t="inlineStr">
        <is>
          <t>Worked example (prefilled)</t>
        </is>
      </c>
    </row>
    <row r="15" ht="60" customHeight="1">
      <c r="B15" s="3" t="inlineStr">
        <is>
          <t>The planner ships with 6 sample assets. For example, the $850,000 CNC machine (7-year property, 100% business use) elected under Section 179 produces an $850,000 first-year deduction, while the $45,000 office furniture under MACRS only deducts 14.29% ($6,431) in year one. Replace the samples with your own purchases.</t>
        </is>
      </c>
    </row>
    <row r="16"/>
    <row r="17" ht="15" customHeight="1">
      <c r="B17" s="3" t="inlineStr">
        <is>
          <t>Only edit yellow cells. White cells contain formulas and compute automatically.</t>
        </is>
      </c>
    </row>
    <row r="18"/>
    <row r="19" ht="30" customHeight="1">
      <c r="B19" s="4" t="inlineStr">
        <is>
          <t>This is planning math, not tax advice. Confirm elections with your CPA and check your state's conformity rules before filing.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</cols>
  <sheetData>
    <row r="1">
      <c r="A1" s="1" t="inlineStr">
        <is>
          <t>Settings</t>
        </is>
      </c>
    </row>
    <row r="3">
      <c r="A3" s="5" t="inlineStr">
        <is>
          <t>Tax year (pick 2025 or 2026)</t>
        </is>
      </c>
      <c r="B3" s="6" t="n">
        <v>2026</v>
      </c>
      <c r="C3" s="7" t="inlineStr">
        <is>
          <t>Input cell. Drives the Section 179 limit and phase-out threshold below.</t>
        </is>
      </c>
    </row>
    <row r="5">
      <c r="A5" s="5" t="inlineStr">
        <is>
          <t>Section 179 expensing limit</t>
        </is>
      </c>
      <c r="B5" s="8">
        <f>IF(B3=2025,2500000,2560000)</f>
        <v/>
      </c>
      <c r="C5" s="7" t="inlineStr">
        <is>
          <t>$2,500,000 for 2025; inflation-indexed to $2,560,000 for 2026 (OBBBA).</t>
        </is>
      </c>
    </row>
    <row r="6">
      <c r="A6" s="5" t="inlineStr">
        <is>
          <t>Section 179 phase-out threshold</t>
        </is>
      </c>
      <c r="B6" s="8">
        <f>IF(B3=2025,4000000,4090000)</f>
        <v/>
      </c>
      <c r="C6" s="7" t="inlineStr">
        <is>
          <t>$4,000,000 for 2025; $4,090,000 for 2026. Limit shrinks dollar for dollar above this.</t>
        </is>
      </c>
    </row>
    <row r="8">
      <c r="A8" s="2" t="inlineStr">
        <is>
          <t>MACRS first-year rates (half-year convention, 200% DB)</t>
        </is>
      </c>
    </row>
    <row r="9">
      <c r="A9" s="9" t="inlineStr">
        <is>
          <t>Recovery period (years)</t>
        </is>
      </c>
      <c r="B9" s="9" t="inlineStr">
        <is>
          <t>First-year rate</t>
        </is>
      </c>
    </row>
    <row r="10">
      <c r="A10" s="10" t="n">
        <v>3</v>
      </c>
      <c r="B10" s="11" t="n">
        <v>0.3333</v>
      </c>
    </row>
    <row r="11">
      <c r="A11" s="10" t="n">
        <v>5</v>
      </c>
      <c r="B11" s="11" t="n">
        <v>0.2</v>
      </c>
    </row>
    <row r="12">
      <c r="A12" s="10" t="n">
        <v>7</v>
      </c>
      <c r="B12" s="11" t="n">
        <v>0.1429</v>
      </c>
    </row>
    <row r="13">
      <c r="A13" s="10" t="n">
        <v>15</v>
      </c>
      <c r="B13" s="11" t="n">
        <v>0.05</v>
      </c>
    </row>
    <row r="15">
      <c r="A15" s="7" t="inlineStr">
        <is>
          <t>Used by the Asset Planner via VLOOKUP for MACRS only elections.</t>
        </is>
      </c>
    </row>
  </sheetData>
  <dataValidations count="1">
    <dataValidation sqref="B3" showDropDown="0" showInputMessage="0" showErrorMessage="1" allowBlank="0" errorTitle="Invalid year" error="Pick 2025 or 2026." type="list">
      <formula1>"2025,2026"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15" customWidth="1" min="5" max="5"/>
    <col width="16" customWidth="1" min="6" max="6"/>
    <col width="15" customWidth="1" min="7" max="7"/>
    <col width="19" customWidth="1" min="8" max="8"/>
    <col width="52" customWidth="1" min="9" max="9"/>
  </cols>
  <sheetData>
    <row r="1" ht="30" customHeight="1">
      <c r="A1" s="12" t="inlineStr">
        <is>
          <t>Asset Description</t>
        </is>
      </c>
      <c r="B1" s="12" t="inlineStr">
        <is>
          <t>Date Placed in Service</t>
        </is>
      </c>
      <c r="C1" s="12" t="inlineStr">
        <is>
          <t>Cost</t>
        </is>
      </c>
      <c r="D1" s="12" t="inlineStr">
        <is>
          <t>Recovery Period (Years)</t>
        </is>
      </c>
      <c r="E1" s="12" t="inlineStr">
        <is>
          <t>Business Use %</t>
        </is>
      </c>
      <c r="F1" s="12" t="inlineStr">
        <is>
          <t>Election</t>
        </is>
      </c>
      <c r="G1" s="12" t="inlineStr">
        <is>
          <t>Eligible Basis</t>
        </is>
      </c>
      <c r="H1" s="12" t="inlineStr">
        <is>
          <t>First-Year Deduction</t>
        </is>
      </c>
      <c r="I1" s="12" t="inlineStr">
        <is>
          <t>Notes / Flags</t>
        </is>
      </c>
    </row>
    <row r="2">
      <c r="A2" s="13" t="inlineStr">
        <is>
          <t>CNC machining center</t>
        </is>
      </c>
      <c r="B2" s="14" t="n">
        <v>46096</v>
      </c>
      <c r="C2" s="15" t="n">
        <v>850000</v>
      </c>
      <c r="D2" s="6" t="n">
        <v>7</v>
      </c>
      <c r="E2" s="16" t="n">
        <v>1</v>
      </c>
      <c r="F2" s="13" t="inlineStr">
        <is>
          <t>Section 179</t>
        </is>
      </c>
      <c r="G2" s="8">
        <f>C2*E2</f>
        <v/>
      </c>
      <c r="H2" s="8">
        <f>IF(F2="Bonus 100%",G2,IF(F2="Section 179",G2,IF(F2="MACRS only",G2*VLOOKUP(D2,Settings!$A$10:$B$13,2,FALSE),0)))</f>
        <v/>
      </c>
      <c r="I2" s="17">
        <f>IF(AND(F2="Bonus 100%",B2&lt;=DATE(2025,1,19)),"Check: 100% bonus requires acquired and placed in service after Jan 19, 2025",IF(F2="MACRS only","Half-year convention year 1; remaining basis depreciates over the recovery period",IF(F2="Section 179","Counts toward the Section 179 limit check below","Fully deducted in year 1")))</f>
        <v/>
      </c>
    </row>
    <row r="3">
      <c r="A3" s="13" t="inlineStr">
        <is>
          <t>Delivery trucks (3 units)</t>
        </is>
      </c>
      <c r="B3" s="14" t="n">
        <v>46063</v>
      </c>
      <c r="C3" s="15" t="n">
        <v>210000</v>
      </c>
      <c r="D3" s="6" t="n">
        <v>5</v>
      </c>
      <c r="E3" s="16" t="n">
        <v>1</v>
      </c>
      <c r="F3" s="13" t="inlineStr">
        <is>
          <t>Section 179</t>
        </is>
      </c>
      <c r="G3" s="8">
        <f>C3*E3</f>
        <v/>
      </c>
      <c r="H3" s="8">
        <f>IF(F3="Bonus 100%",G3,IF(F3="Section 179",G3,IF(F3="MACRS only",G3*VLOOKUP(D3,Settings!$A$10:$B$13,2,FALSE),0)))</f>
        <v/>
      </c>
      <c r="I3" s="17">
        <f>IF(AND(F3="Bonus 100%",B3&lt;=DATE(2025,1,19)),"Check: 100% bonus requires acquired and placed in service after Jan 19, 2025",IF(F3="MACRS only","Half-year convention year 1; remaining basis depreciates over the recovery period",IF(F3="Section 179","Counts toward the Section 179 limit check below","Fully deducted in year 1")))</f>
        <v/>
      </c>
    </row>
    <row r="4">
      <c r="A4" s="13" t="inlineStr">
        <is>
          <t>Server and network hardware</t>
        </is>
      </c>
      <c r="B4" s="14" t="n">
        <v>46143</v>
      </c>
      <c r="C4" s="15" t="n">
        <v>120000</v>
      </c>
      <c r="D4" s="6" t="n">
        <v>5</v>
      </c>
      <c r="E4" s="16" t="n">
        <v>1</v>
      </c>
      <c r="F4" s="13" t="inlineStr">
        <is>
          <t>Bonus 100%</t>
        </is>
      </c>
      <c r="G4" s="8">
        <f>C4*E4</f>
        <v/>
      </c>
      <c r="H4" s="8">
        <f>IF(F4="Bonus 100%",G4,IF(F4="Section 179",G4,IF(F4="MACRS only",G4*VLOOKUP(D4,Settings!$A$10:$B$13,2,FALSE),0)))</f>
        <v/>
      </c>
      <c r="I4" s="17">
        <f>IF(AND(F4="Bonus 100%",B4&lt;=DATE(2025,1,19)),"Check: 100% bonus requires acquired and placed in service after Jan 19, 2025",IF(F4="MACRS only","Half-year convention year 1; remaining basis depreciates over the recovery period",IF(F4="Section 179","Counts toward the Section 179 limit check below","Fully deducted in year 1")))</f>
        <v/>
      </c>
    </row>
    <row r="5">
      <c r="A5" s="13" t="inlineStr">
        <is>
          <t>Office furniture and fixtures</t>
        </is>
      </c>
      <c r="B5" s="14" t="n">
        <v>46132</v>
      </c>
      <c r="C5" s="15" t="n">
        <v>45000</v>
      </c>
      <c r="D5" s="6" t="n">
        <v>7</v>
      </c>
      <c r="E5" s="16" t="n">
        <v>1</v>
      </c>
      <c r="F5" s="13" t="inlineStr">
        <is>
          <t>MACRS only</t>
        </is>
      </c>
      <c r="G5" s="8">
        <f>C5*E5</f>
        <v/>
      </c>
      <c r="H5" s="8">
        <f>IF(F5="Bonus 100%",G5,IF(F5="Section 179",G5,IF(F5="MACRS only",G5*VLOOKUP(D5,Settings!$A$10:$B$13,2,FALSE),0)))</f>
        <v/>
      </c>
      <c r="I5" s="17">
        <f>IF(AND(F5="Bonus 100%",B5&lt;=DATE(2025,1,19)),"Check: 100% bonus requires acquired and placed in service after Jan 19, 2025",IF(F5="MACRS only","Half-year convention year 1; remaining basis depreciates over the recovery period",IF(F5="Section 179","Counts toward the Section 179 limit check below","Fully deducted in year 1")))</f>
        <v/>
      </c>
    </row>
    <row r="6">
      <c r="A6" s="13" t="inlineStr">
        <is>
          <t>Parking lot land improvements</t>
        </is>
      </c>
      <c r="B6" s="14" t="n">
        <v>46203</v>
      </c>
      <c r="C6" s="15" t="n">
        <v>95000</v>
      </c>
      <c r="D6" s="6" t="n">
        <v>15</v>
      </c>
      <c r="E6" s="16" t="n">
        <v>1</v>
      </c>
      <c r="F6" s="13" t="inlineStr">
        <is>
          <t>Bonus 100%</t>
        </is>
      </c>
      <c r="G6" s="8">
        <f>C6*E6</f>
        <v/>
      </c>
      <c r="H6" s="8">
        <f>IF(F6="Bonus 100%",G6,IF(F6="Section 179",G6,IF(F6="MACRS only",G6*VLOOKUP(D6,Settings!$A$10:$B$13,2,FALSE),0)))</f>
        <v/>
      </c>
      <c r="I6" s="17">
        <f>IF(AND(F6="Bonus 100%",B6&lt;=DATE(2025,1,19)),"Check: 100% bonus requires acquired and placed in service after Jan 19, 2025",IF(F6="MACRS only","Half-year convention year 1; remaining basis depreciates over the recovery period",IF(F6="Section 179","Counts toward the Section 179 limit check below","Fully deducted in year 1")))</f>
        <v/>
      </c>
    </row>
    <row r="7">
      <c r="A7" s="13" t="inlineStr">
        <is>
          <t>Company vehicle (mixed use)</t>
        </is>
      </c>
      <c r="B7" s="14" t="n">
        <v>46086</v>
      </c>
      <c r="C7" s="15" t="n">
        <v>65000</v>
      </c>
      <c r="D7" s="6" t="n">
        <v>5</v>
      </c>
      <c r="E7" s="16" t="n">
        <v>0.8</v>
      </c>
      <c r="F7" s="13" t="inlineStr">
        <is>
          <t>MACRS only</t>
        </is>
      </c>
      <c r="G7" s="8">
        <f>C7*E7</f>
        <v/>
      </c>
      <c r="H7" s="8">
        <f>IF(F7="Bonus 100%",G7,IF(F7="Section 179",G7,IF(F7="MACRS only",G7*VLOOKUP(D7,Settings!$A$10:$B$13,2,FALSE),0)))</f>
        <v/>
      </c>
      <c r="I7" s="17">
        <f>IF(AND(F7="Bonus 100%",B7&lt;=DATE(2025,1,19)),"Check: 100% bonus requires acquired and placed in service after Jan 19, 2025",IF(F7="MACRS only","Half-year convention year 1; remaining basis depreciates over the recovery period",IF(F7="Section 179","Counts toward the Section 179 limit check below","Fully deducted in year 1")))</f>
        <v/>
      </c>
    </row>
    <row r="8">
      <c r="A8" s="18" t="inlineStr">
        <is>
          <t>TOTALS</t>
        </is>
      </c>
      <c r="B8" s="19" t="n"/>
      <c r="C8" s="20">
        <f>SUM(C2:C7)</f>
        <v/>
      </c>
      <c r="D8" s="19" t="n"/>
      <c r="E8" s="19" t="n"/>
      <c r="F8" s="19" t="n"/>
      <c r="G8" s="20">
        <f>SUM(G2:G7)</f>
        <v/>
      </c>
      <c r="H8" s="20">
        <f>SUM(H2:H7)</f>
        <v/>
      </c>
      <c r="I8" s="19" t="n"/>
    </row>
    <row r="10">
      <c r="A10" s="21" t="inlineStr">
        <is>
          <t>Section 179 limit check</t>
        </is>
      </c>
      <c r="B10" s="22" t="n"/>
      <c r="C10" s="22" t="n"/>
    </row>
    <row r="11">
      <c r="A11" s="5" t="inlineStr">
        <is>
          <t>Total Section 179 elected</t>
        </is>
      </c>
      <c r="B11" s="8">
        <f>SUMIF(F2:F7,"Section 179",G2:G7)</f>
        <v/>
      </c>
      <c r="C11" s="23" t="inlineStr">
        <is>
          <t>Sum of eligible basis for assets elected under Section 179</t>
        </is>
      </c>
    </row>
    <row r="12">
      <c r="A12" s="5" t="inlineStr">
        <is>
          <t>Total qualifying property additions</t>
        </is>
      </c>
      <c r="B12" s="8">
        <f>C8</f>
        <v/>
      </c>
      <c r="C12" s="23" t="inlineStr">
        <is>
          <t>Total cost placed in service; drives the phase-out</t>
        </is>
      </c>
    </row>
    <row r="13">
      <c r="A13" s="5" t="inlineStr">
        <is>
          <t>Section 179 limit (from Settings)</t>
        </is>
      </c>
      <c r="B13" s="8">
        <f>Settings!B5</f>
        <v/>
      </c>
      <c r="C13" s="23" t="inlineStr">
        <is>
          <t>Set by the tax year on the Settings sheet</t>
        </is>
      </c>
    </row>
    <row r="14">
      <c r="A14" s="5" t="inlineStr">
        <is>
          <t>Phase-out reduction</t>
        </is>
      </c>
      <c r="B14" s="8">
        <f>MAX(0,B12-Settings!B6)</f>
        <v/>
      </c>
      <c r="C14" s="23" t="inlineStr">
        <is>
          <t>Dollar for dollar reduction above the phase-out threshold</t>
        </is>
      </c>
    </row>
    <row r="15">
      <c r="A15" s="5" t="inlineStr">
        <is>
          <t>Allowed Section 179 limit after phase-out</t>
        </is>
      </c>
      <c r="B15" s="8">
        <f>MAX(0,B13-B14)</f>
        <v/>
      </c>
      <c r="C15" s="23" t="inlineStr">
        <is>
          <t>Limit minus phase-out reduction, floored at zero</t>
        </is>
      </c>
    </row>
    <row r="16">
      <c r="A16" s="5" t="inlineStr">
        <is>
          <t>Remaining Section 179 capacity</t>
        </is>
      </c>
      <c r="B16" s="8">
        <f>B15-B11</f>
        <v/>
      </c>
      <c r="C16" s="23" t="inlineStr">
        <is>
          <t>Negative means you elected more than the allowed limit</t>
        </is>
      </c>
    </row>
    <row r="17">
      <c r="A17" s="5" t="inlineStr">
        <is>
          <t>Status</t>
        </is>
      </c>
      <c r="B17" s="24">
        <f>IF(B11&gt;B15,"OVER LIMIT: shift excess to Bonus","OK: within Section 179 limit")</f>
        <v/>
      </c>
      <c r="C17" s="25" t="n"/>
      <c r="D17" s="26" t="n"/>
    </row>
  </sheetData>
  <mergeCells count="1">
    <mergeCell ref="B17:D17"/>
  </mergeCells>
  <dataValidations count="2">
    <dataValidation sqref="D2:D7" showDropDown="0" showInputMessage="0" showErrorMessage="1" allowBlank="0" errorTitle="Invalid period" error="Pick 3, 5, 7, or 15 years." type="list">
      <formula1>"3,5,7,15"</formula1>
    </dataValidation>
    <dataValidation sqref="F2:F7" showDropDown="0" showInputMessage="0" showErrorMessage="1" allowBlank="0" errorTitle="Invalid election" error="Pick Bonus 100%, Section 179, or MACRS only." type="list">
      <formula1>"Bonus 100%,Section 179,MACRS only"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2026-07-18T07:41:55Z</dcterms:created>
  <dcterms:modified xsi:type="dcterms:W3CDTF">2026-07-18T07:41:55Z</dcterms:modified>
</cp:coreProperties>
</file>