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ily Sales" sheetId="2" state="visible" r:id="rId2"/>
    <sheet name="Deposit Matching"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quot;$&quot;#,##0.00"/>
  </numFmts>
  <fonts count="5">
    <font>
      <name val="Calibri"/>
      <family val="2"/>
      <color theme="1"/>
      <sz val="11"/>
      <scheme val="minor"/>
    </font>
    <font>
      <b val="1"/>
      <color rgb="001F3864"/>
      <sz val="14"/>
    </font>
    <font>
      <b val="1"/>
      <color rgb="001F3864"/>
      <sz val="11"/>
    </font>
    <font>
      <b val="1"/>
      <color rgb="00FFFFFF"/>
      <sz val="11"/>
    </font>
    <font>
      <b val="1"/>
    </font>
  </fonts>
  <fills count="5">
    <fill>
      <patternFill/>
    </fill>
    <fill>
      <patternFill patternType="gray125"/>
    </fill>
    <fill>
      <patternFill patternType="solid">
        <fgColor rgb="001F3864"/>
      </patternFill>
    </fill>
    <fill>
      <patternFill patternType="solid">
        <fgColor rgb="00FFF9E6"/>
      </patternFill>
    </fill>
    <fill>
      <patternFill patternType="solid">
        <fgColor rgb="00D9E2F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165" fontId="0" fillId="3" borderId="1" pivotButton="0" quotePrefix="0" xfId="0"/>
    <xf numFmtId="0" fontId="0" fillId="3" borderId="1" pivotButton="0" quotePrefix="0" xfId="0"/>
    <xf numFmtId="166" fontId="0" fillId="3" borderId="1" pivotButton="0" quotePrefix="0" xfId="0"/>
    <xf numFmtId="166" fontId="0" fillId="0" borderId="1" pivotButton="0" quotePrefix="0" xfId="0"/>
    <xf numFmtId="0" fontId="4" fillId="4" borderId="1" pivotButton="0" quotePrefix="0" xfId="0"/>
    <xf numFmtId="0" fontId="0" fillId="4" borderId="1" pivotButton="0" quotePrefix="0" xfId="0"/>
    <xf numFmtId="166"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c r="A1" s="1" t="inlineStr">
        <is>
          <t>POS Daily Sales Reconciliation Tracker (Toast/Square)</t>
        </is>
      </c>
    </row>
    <row r="2">
      <c r="A2" s="2" t="inlineStr"/>
    </row>
    <row r="3">
      <c r="A3" s="3" t="inlineStr">
        <is>
          <t>The problem</t>
        </is>
      </c>
    </row>
    <row r="4" ht="45" customHeight="1">
      <c r="A4" s="2" t="inlineStr">
        <is>
          <t>Bank deposits almost never equal your POS sales for the day. Processors like Toast and Square net their fees out of the deposit, tips ride along with card batches, settlement lags 1 to 2 business days, and refunds, gift card sales, and cash all move independently of the card batch. If you book deposits straight to revenue, sales are understated by the fees and your books drift from the POS report.</t>
        </is>
      </c>
    </row>
    <row r="5">
      <c r="A5" s="2" t="inlineStr"/>
    </row>
    <row r="6">
      <c r="A6" s="3" t="inlineStr">
        <is>
          <t>How to use this tracker</t>
        </is>
      </c>
    </row>
    <row r="7" ht="45" customHeight="1">
      <c r="A7" s="2" t="inlineStr">
        <is>
          <t>1. Daily Sales sheet: enter one row per day per location, straight from your Toast or Square daily summary. Fill only the light yellow input cells (Date through Processing Fees).</t>
        </is>
      </c>
    </row>
    <row r="8" ht="45" customHeight="1">
      <c r="A8" s="2" t="inlineStr">
        <is>
          <t>2. Expected Net Deposit is computed for you: Gross Card Sales + Tips Collected - Refunds - Processing Fees. That is what the processor should actually wire to your bank.</t>
        </is>
      </c>
    </row>
    <row r="9" ht="45" customHeight="1">
      <c r="A9" s="2" t="inlineStr">
        <is>
          <t>3. Total Daily Revenue is also computed: Gross Card Sales + Cash Sales + Gift Cards Sold - Refunds. Note this is a cash-in view, not GAAP revenue: gift cards sold are a liability until redeemed, and sales tax collected is included in the gross figures until you remit it.</t>
        </is>
      </c>
    </row>
    <row r="10" ht="45" customHeight="1">
      <c r="A10" s="2" t="inlineStr">
        <is>
          <t>4. Deposit Matching sheet: enter each bank deposit as it lands (light yellow cells), note which sales dates it covers, and point Expected Amount at the matching Expected Net Deposit cell(s) on Daily Sales.</t>
        </is>
      </c>
    </row>
    <row r="11" ht="45" customHeight="1">
      <c r="A11" s="2" t="inlineStr">
        <is>
          <t>5. Difference shows deposit minus expected for that batch. Running Clearing Balance carries prior balance + expected - deposit, mirroring an undeposited funds (clearing) account.</t>
        </is>
      </c>
    </row>
    <row r="12">
      <c r="A12" s="2" t="inlineStr"/>
    </row>
    <row r="13">
      <c r="A13" s="3" t="inlineStr">
        <is>
          <t>Reading the results</t>
        </is>
      </c>
    </row>
    <row r="14" ht="45" customHeight="1">
      <c r="A14" s="2" t="inlineStr">
        <is>
          <t>Because settlement lags 1 to 2 business days, the clearing balance on your books should hover near 1 to 2 days of card sales at any point in time. A clearing balance that keeps growing means deposits are not being matched to sales days: missed entries, an unrecorded fee change, or a batch that never settled. Chase any Difference larger than a few dollars the same week, while the batch detail is still easy to pull from the POS.</t>
        </is>
      </c>
    </row>
    <row r="15">
      <c r="A15" s="2" t="inlineStr"/>
    </row>
    <row r="16">
      <c r="A16" s="3" t="inlineStr">
        <is>
          <t>Worked example</t>
        </is>
      </c>
    </row>
    <row r="17" ht="45" customHeight="1">
      <c r="A17" s="2" t="inlineStr">
        <is>
          <t>The sample data shows one location for the week of Jul 6 to Jul 12, 2026. Deposits land two business days after each sales day, so Monday Jul 6 card sales arrive in the bank on Wednesday Jul 8. One deposit (Jul 10, covering Jul 8 sales) lands $18.50 short of expected, a typical unexplained difference to chase back to a chargeback or fee adjustment. Replace the sample rows with your own data; every computed column updates automatically.</t>
        </is>
      </c>
    </row>
    <row r="18">
      <c r="A18" s="2" t="inlineStr"/>
    </row>
    <row r="19">
      <c r="A19" s="3" t="inlineStr">
        <is>
          <t>Input cells are light yellow. Never type over the white formula cells.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7" customWidth="1" min="3" max="3"/>
    <col width="12" customWidth="1" min="4" max="4"/>
    <col width="14" customWidth="1" min="5" max="5"/>
    <col width="15" customWidth="1" min="6" max="6"/>
    <col width="18" customWidth="1" min="7" max="7"/>
    <col width="11" customWidth="1" min="8" max="8"/>
    <col width="18" customWidth="1" min="9" max="9"/>
    <col width="16" customWidth="1" min="10" max="10"/>
    <col width="19" customWidth="1" min="11" max="11"/>
    <col width="18" customWidth="1" min="12" max="12"/>
  </cols>
  <sheetData>
    <row r="1" ht="30" customHeight="1">
      <c r="A1" s="4" t="inlineStr">
        <is>
          <t>Date</t>
        </is>
      </c>
      <c r="B1" s="4" t="inlineStr">
        <is>
          <t>Location</t>
        </is>
      </c>
      <c r="C1" s="4" t="inlineStr">
        <is>
          <t>Gross Card Sales</t>
        </is>
      </c>
      <c r="D1" s="4" t="inlineStr">
        <is>
          <t>Cash Sales</t>
        </is>
      </c>
      <c r="E1" s="4" t="inlineStr">
        <is>
          <t>Tips Collected</t>
        </is>
      </c>
      <c r="F1" s="4" t="inlineStr">
        <is>
          <t>Gift Cards Sold</t>
        </is>
      </c>
      <c r="G1" s="4" t="inlineStr">
        <is>
          <t>Gift Cards Redeemed</t>
        </is>
      </c>
      <c r="H1" s="4" t="inlineStr">
        <is>
          <t>Refunds</t>
        </is>
      </c>
      <c r="I1" s="4" t="inlineStr">
        <is>
          <t>Sales Tax Collected</t>
        </is>
      </c>
      <c r="J1" s="4" t="inlineStr">
        <is>
          <t>Processing Fees</t>
        </is>
      </c>
      <c r="K1" s="4" t="inlineStr">
        <is>
          <t>Expected Net Deposit</t>
        </is>
      </c>
      <c r="L1" s="4" t="inlineStr">
        <is>
          <t>Total Daily Revenue</t>
        </is>
      </c>
    </row>
    <row r="2">
      <c r="A2" s="5" t="n">
        <v>46209</v>
      </c>
      <c r="B2" s="6" t="inlineStr">
        <is>
          <t>Main Street</t>
        </is>
      </c>
      <c r="C2" s="7" t="n">
        <v>2480</v>
      </c>
      <c r="D2" s="7" t="n">
        <v>310</v>
      </c>
      <c r="E2" s="7" t="n">
        <v>372</v>
      </c>
      <c r="F2" s="7" t="n">
        <v>50</v>
      </c>
      <c r="G2" s="7" t="n">
        <v>25</v>
      </c>
      <c r="H2" s="7" t="n">
        <v>42</v>
      </c>
      <c r="I2" s="7" t="n">
        <v>205</v>
      </c>
      <c r="J2" s="7" t="n">
        <v>79.86</v>
      </c>
      <c r="K2" s="8">
        <f>C2+E2-H2-J2</f>
        <v/>
      </c>
      <c r="L2" s="8">
        <f>C2+D2+F2-H2</f>
        <v/>
      </c>
    </row>
    <row r="3">
      <c r="A3" s="5" t="n">
        <v>46210</v>
      </c>
      <c r="B3" s="6" t="inlineStr">
        <is>
          <t>Main Street</t>
        </is>
      </c>
      <c r="C3" s="7" t="n">
        <v>2315</v>
      </c>
      <c r="D3" s="7" t="n">
        <v>285</v>
      </c>
      <c r="E3" s="7" t="n">
        <v>347.25</v>
      </c>
      <c r="F3" s="7" t="n">
        <v>0</v>
      </c>
      <c r="G3" s="7" t="n">
        <v>40</v>
      </c>
      <c r="H3" s="7" t="n">
        <v>0</v>
      </c>
      <c r="I3" s="7" t="n">
        <v>191</v>
      </c>
      <c r="J3" s="7" t="n">
        <v>74.55</v>
      </c>
      <c r="K3" s="8">
        <f>C3+E3-H3-J3</f>
        <v/>
      </c>
      <c r="L3" s="8">
        <f>C3+D3+F3-H3</f>
        <v/>
      </c>
    </row>
    <row r="4">
      <c r="A4" s="5" t="n">
        <v>46211</v>
      </c>
      <c r="B4" s="6" t="inlineStr">
        <is>
          <t>Main Street</t>
        </is>
      </c>
      <c r="C4" s="7" t="n">
        <v>2640</v>
      </c>
      <c r="D4" s="7" t="n">
        <v>330</v>
      </c>
      <c r="E4" s="7" t="n">
        <v>396</v>
      </c>
      <c r="F4" s="7" t="n">
        <v>100</v>
      </c>
      <c r="G4" s="7" t="n">
        <v>30</v>
      </c>
      <c r="H4" s="7" t="n">
        <v>65</v>
      </c>
      <c r="I4" s="7" t="n">
        <v>218</v>
      </c>
      <c r="J4" s="7" t="n">
        <v>85.01000000000001</v>
      </c>
      <c r="K4" s="8">
        <f>C4+E4-H4-J4</f>
        <v/>
      </c>
      <c r="L4" s="8">
        <f>C4+D4+F4-H4</f>
        <v/>
      </c>
    </row>
    <row r="5">
      <c r="A5" s="5" t="n">
        <v>46212</v>
      </c>
      <c r="B5" s="6" t="inlineStr">
        <is>
          <t>Main Street</t>
        </is>
      </c>
      <c r="C5" s="7" t="n">
        <v>2895</v>
      </c>
      <c r="D5" s="7" t="n">
        <v>360</v>
      </c>
      <c r="E5" s="7" t="n">
        <v>434.25</v>
      </c>
      <c r="F5" s="7" t="n">
        <v>25</v>
      </c>
      <c r="G5" s="7" t="n">
        <v>55</v>
      </c>
      <c r="H5" s="7" t="n">
        <v>38</v>
      </c>
      <c r="I5" s="7" t="n">
        <v>239</v>
      </c>
      <c r="J5" s="7" t="n">
        <v>93.22</v>
      </c>
      <c r="K5" s="8">
        <f>C5+E5-H5-J5</f>
        <v/>
      </c>
      <c r="L5" s="8">
        <f>C5+D5+F5-H5</f>
        <v/>
      </c>
    </row>
    <row r="6">
      <c r="A6" s="5" t="n">
        <v>46213</v>
      </c>
      <c r="B6" s="6" t="inlineStr">
        <is>
          <t>Main Street</t>
        </is>
      </c>
      <c r="C6" s="7" t="n">
        <v>4120</v>
      </c>
      <c r="D6" s="7" t="n">
        <v>515</v>
      </c>
      <c r="E6" s="7" t="n">
        <v>618</v>
      </c>
      <c r="F6" s="7" t="n">
        <v>150</v>
      </c>
      <c r="G6" s="7" t="n">
        <v>70</v>
      </c>
      <c r="H6" s="7" t="n">
        <v>92</v>
      </c>
      <c r="I6" s="7" t="n">
        <v>340</v>
      </c>
      <c r="J6" s="7" t="n">
        <v>132.66</v>
      </c>
      <c r="K6" s="8">
        <f>C6+E6-H6-J6</f>
        <v/>
      </c>
      <c r="L6" s="8">
        <f>C6+D6+F6-H6</f>
        <v/>
      </c>
    </row>
    <row r="7">
      <c r="A7" s="5" t="n">
        <v>46214</v>
      </c>
      <c r="B7" s="6" t="inlineStr">
        <is>
          <t>Main Street</t>
        </is>
      </c>
      <c r="C7" s="7" t="n">
        <v>4560</v>
      </c>
      <c r="D7" s="7" t="n">
        <v>570</v>
      </c>
      <c r="E7" s="7" t="n">
        <v>684</v>
      </c>
      <c r="F7" s="7" t="n">
        <v>200</v>
      </c>
      <c r="G7" s="7" t="n">
        <v>85</v>
      </c>
      <c r="H7" s="7" t="n">
        <v>110</v>
      </c>
      <c r="I7" s="7" t="n">
        <v>376</v>
      </c>
      <c r="J7" s="7" t="n">
        <v>146.83</v>
      </c>
      <c r="K7" s="8">
        <f>C7+E7-H7-J7</f>
        <v/>
      </c>
      <c r="L7" s="8">
        <f>C7+D7+F7-H7</f>
        <v/>
      </c>
    </row>
    <row r="8">
      <c r="A8" s="5" t="n">
        <v>46215</v>
      </c>
      <c r="B8" s="6" t="inlineStr">
        <is>
          <t>Main Street</t>
        </is>
      </c>
      <c r="C8" s="7" t="n">
        <v>3380</v>
      </c>
      <c r="D8" s="7" t="n">
        <v>425</v>
      </c>
      <c r="E8" s="7" t="n">
        <v>507</v>
      </c>
      <c r="F8" s="7" t="n">
        <v>75</v>
      </c>
      <c r="G8" s="7" t="n">
        <v>60</v>
      </c>
      <c r="H8" s="7" t="n">
        <v>54</v>
      </c>
      <c r="I8" s="7" t="n">
        <v>279</v>
      </c>
      <c r="J8" s="7" t="n">
        <v>108.84</v>
      </c>
      <c r="K8" s="8">
        <f>C8+E8-H8-J8</f>
        <v/>
      </c>
      <c r="L8" s="8">
        <f>C8+D8+F8-H8</f>
        <v/>
      </c>
    </row>
    <row r="9">
      <c r="A9" s="9" t="inlineStr">
        <is>
          <t>TOTALS</t>
        </is>
      </c>
      <c r="B9" s="10" t="n"/>
      <c r="C9" s="11">
        <f>SUM(C2:C8)</f>
        <v/>
      </c>
      <c r="D9" s="11">
        <f>SUM(D2:D8)</f>
        <v/>
      </c>
      <c r="E9" s="11">
        <f>SUM(E2:E8)</f>
        <v/>
      </c>
      <c r="F9" s="11">
        <f>SUM(F2:F8)</f>
        <v/>
      </c>
      <c r="G9" s="11">
        <f>SUM(G2:G8)</f>
        <v/>
      </c>
      <c r="H9" s="11">
        <f>SUM(H2:H8)</f>
        <v/>
      </c>
      <c r="I9" s="11">
        <f>SUM(I2:I8)</f>
        <v/>
      </c>
      <c r="J9" s="11">
        <f>SUM(J2:J8)</f>
        <v/>
      </c>
      <c r="K9" s="11">
        <f>SUM(K2:K8)</f>
        <v/>
      </c>
      <c r="L9" s="11">
        <f>SUM(L2:L8)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20" customWidth="1" min="3" max="3"/>
    <col width="16" customWidth="1" min="4" max="4"/>
    <col width="12" customWidth="1" min="5" max="5"/>
    <col width="22" customWidth="1" min="6" max="6"/>
  </cols>
  <sheetData>
    <row r="1" ht="30" customHeight="1">
      <c r="A1" s="4" t="inlineStr">
        <is>
          <t>Deposit Date</t>
        </is>
      </c>
      <c r="B1" s="4" t="inlineStr">
        <is>
          <t>Bank Deposit Amount</t>
        </is>
      </c>
      <c r="C1" s="4" t="inlineStr">
        <is>
          <t>Matched Sales Dates</t>
        </is>
      </c>
      <c r="D1" s="4" t="inlineStr">
        <is>
          <t>Expected Amount</t>
        </is>
      </c>
      <c r="E1" s="4" t="inlineStr">
        <is>
          <t>Difference</t>
        </is>
      </c>
      <c r="F1" s="4" t="inlineStr">
        <is>
          <t>Running Clearing Balance</t>
        </is>
      </c>
    </row>
    <row r="2">
      <c r="A2" s="5" t="n">
        <v>46211</v>
      </c>
      <c r="B2" s="7" t="n">
        <v>2730.14</v>
      </c>
      <c r="C2" s="6" t="inlineStr">
        <is>
          <t>Jul 6</t>
        </is>
      </c>
      <c r="D2" s="8">
        <f>'Daily Sales'!K2</f>
        <v/>
      </c>
      <c r="E2" s="8">
        <f>B2-D2</f>
        <v/>
      </c>
      <c r="F2" s="8">
        <f>D2-B2</f>
        <v/>
      </c>
    </row>
    <row r="3">
      <c r="A3" s="5" t="n">
        <v>46212</v>
      </c>
      <c r="B3" s="7" t="n">
        <v>2587.7</v>
      </c>
      <c r="C3" s="6" t="inlineStr">
        <is>
          <t>Jul 7</t>
        </is>
      </c>
      <c r="D3" s="8">
        <f>'Daily Sales'!K3</f>
        <v/>
      </c>
      <c r="E3" s="8">
        <f>B3-D3</f>
        <v/>
      </c>
      <c r="F3" s="8">
        <f>F2+D3-B3</f>
        <v/>
      </c>
    </row>
    <row r="4">
      <c r="A4" s="5" t="n">
        <v>46213</v>
      </c>
      <c r="B4" s="7" t="n">
        <v>2867.49</v>
      </c>
      <c r="C4" s="6" t="inlineStr">
        <is>
          <t>Jul 8</t>
        </is>
      </c>
      <c r="D4" s="8">
        <f>'Daily Sales'!K4</f>
        <v/>
      </c>
      <c r="E4" s="8">
        <f>B4-D4</f>
        <v/>
      </c>
      <c r="F4" s="8">
        <f>F3+D4-B4</f>
        <v/>
      </c>
    </row>
    <row r="5">
      <c r="A5" s="5" t="n">
        <v>46216</v>
      </c>
      <c r="B5" s="7" t="n">
        <v>3198.03</v>
      </c>
      <c r="C5" s="6" t="inlineStr">
        <is>
          <t>Jul 9</t>
        </is>
      </c>
      <c r="D5" s="8">
        <f>'Daily Sales'!K5</f>
        <v/>
      </c>
      <c r="E5" s="8">
        <f>B5-D5</f>
        <v/>
      </c>
      <c r="F5" s="8">
        <f>F4+D5-B5</f>
        <v/>
      </c>
    </row>
    <row r="6">
      <c r="A6" s="5" t="n">
        <v>46217</v>
      </c>
      <c r="B6" s="7" t="n">
        <v>4513.34</v>
      </c>
      <c r="C6" s="6" t="inlineStr">
        <is>
          <t>Jul 10</t>
        </is>
      </c>
      <c r="D6" s="8">
        <f>'Daily Sales'!K6</f>
        <v/>
      </c>
      <c r="E6" s="8">
        <f>B6-D6</f>
        <v/>
      </c>
      <c r="F6" s="8">
        <f>F5+D6-B6</f>
        <v/>
      </c>
    </row>
    <row r="7">
      <c r="A7" s="5" t="n">
        <v>46218</v>
      </c>
      <c r="B7" s="7" t="n">
        <v>8711.33</v>
      </c>
      <c r="C7" s="6" t="inlineStr">
        <is>
          <t>Jul 11 + Jul 12</t>
        </is>
      </c>
      <c r="D7" s="8">
        <f>'Daily Sales'!K7+'Daily Sales'!K8</f>
        <v/>
      </c>
      <c r="E7" s="8">
        <f>B7-D7</f>
        <v/>
      </c>
      <c r="F7" s="8">
        <f>F6+D7-B7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2026-07-18T07:41:42Z</dcterms:created>
  <dcterms:modified xsi:type="dcterms:W3CDTF">2026-07-18T07:41:42Z</dcterms:modified>
</cp:coreProperties>
</file>