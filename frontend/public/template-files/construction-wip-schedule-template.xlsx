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WIP Schedule" sheetId="2" state="visible" r:id="rId2"/>
  </sheets>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6">
    <font>
      <name val="Calibri"/>
      <family val="2"/>
      <color theme="1"/>
      <sz val="11"/>
      <scheme val="minor"/>
    </font>
    <font>
      <b val="1"/>
      <color rgb="001F3864"/>
      <sz val="14"/>
    </font>
    <font>
      <sz val="10"/>
    </font>
    <font>
      <b val="1"/>
      <color rgb="001F3864"/>
      <sz val="11"/>
    </font>
    <font>
      <b val="1"/>
      <sz val="10"/>
    </font>
    <font>
      <b val="1"/>
      <color rgb="00FFFFFF"/>
      <sz val="10"/>
    </font>
  </fonts>
  <fills count="4">
    <fill>
      <patternFill/>
    </fill>
    <fill>
      <patternFill patternType="gray125"/>
    </fill>
    <fill>
      <patternFill patternType="solid">
        <fgColor rgb="001F3864"/>
        <bgColor rgb="001F3864"/>
      </patternFill>
    </fill>
    <fill>
      <patternFill patternType="solid">
        <fgColor rgb="00FFF9E6"/>
        <bgColor rgb="00FFF9E6"/>
      </patternFill>
    </fill>
  </fills>
  <borders count="3">
    <border>
      <left/>
      <right/>
      <top/>
      <bottom/>
      <diagonal/>
    </border>
    <border>
      <bottom style="thin">
        <color rgb="00B0B0B0"/>
      </bottom>
    </border>
    <border>
      <top style="mediu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1" applyAlignment="1" pivotButton="0" quotePrefix="0" xfId="0">
      <alignment vertical="top"/>
    </xf>
    <xf numFmtId="0" fontId="2" fillId="0" borderId="1" applyAlignment="1" pivotButton="0" quotePrefix="0" xfId="0">
      <alignment vertical="top" wrapText="1"/>
    </xf>
    <xf numFmtId="0" fontId="5" fillId="2" borderId="0" applyAlignment="1" pivotButton="0" quotePrefix="0" xfId="0">
      <alignment horizontal="center" vertical="center" wrapText="1"/>
    </xf>
    <xf numFmtId="0" fontId="0" fillId="3" borderId="0" applyAlignment="1" pivotButton="0" quotePrefix="0" xfId="0">
      <alignment horizontal="center"/>
    </xf>
    <xf numFmtId="0" fontId="0" fillId="3" borderId="0" pivotButton="0" quotePrefix="0" xfId="0"/>
    <xf numFmtId="164" fontId="0" fillId="3" borderId="0" pivotButton="0" quotePrefix="0" xfId="0"/>
    <xf numFmtId="164" fontId="0" fillId="0" borderId="0" pivotButton="0" quotePrefix="0" xfId="0"/>
    <xf numFmtId="165" fontId="0" fillId="0" borderId="0" pivotButton="0" quotePrefix="0" xfId="0"/>
    <xf numFmtId="0" fontId="4" fillId="0" borderId="2" pivotButton="0" quotePrefix="0" xfId="0"/>
    <xf numFmtId="164" fontId="4" fillId="0" borderId="2" pivotButton="0" quotePrefix="0" xfId="0"/>
    <xf numFmtId="165" fontId="4"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4"/>
  <sheetViews>
    <sheetView showGridLines="0" workbookViewId="0">
      <selection activeCell="A1" sqref="A1"/>
    </sheetView>
  </sheetViews>
  <sheetFormatPr baseColWidth="8" defaultRowHeight="15"/>
  <cols>
    <col width="3" customWidth="1" min="1" max="1"/>
    <col width="26" customWidth="1" min="2" max="2"/>
    <col width="95" customWidth="1" min="3" max="3"/>
  </cols>
  <sheetData>
    <row r="1">
      <c r="B1" s="1" t="inlineStr">
        <is>
          <t>Construction WIP Schedule (Over/Under Billing)</t>
        </is>
      </c>
    </row>
    <row r="3" ht="52" customHeight="1">
      <c r="B3" s="2" t="inlineStr">
        <is>
          <t>A work in progress (WIP) schedule reports every open job under the percentage-of-completion method: revenue is earned in proportion to costs incurred, not in proportion to what has been billed. It is the report sureties, bonding agents, and lenders ask for because it reveals whether a contractor is billing ahead of the work (over billed) or funding work out of pocket (under billed).</t>
        </is>
      </c>
    </row>
    <row r="5">
      <c r="B5" s="3" t="inlineStr">
        <is>
          <t>How to use this template</t>
        </is>
      </c>
    </row>
    <row r="6" ht="26" customHeight="1">
      <c r="B6" s="2" t="inlineStr">
        <is>
          <t>1. Go to the WIP Schedule sheet. Enter one row per open job in the light yellow input cells only: Job #, Job Name, Contract Value, Approved Change Orders, Estimated Total Cost, Cost to Date, and Billed to Date.</t>
        </is>
      </c>
    </row>
    <row r="7" ht="14" customHeight="1">
      <c r="B7" s="2" t="inlineStr">
        <is>
          <t>2. Every white column computes automatically. Never type over a formula cell.</t>
        </is>
      </c>
    </row>
    <row r="8" ht="14" customHeight="1">
      <c r="B8" s="2" t="inlineStr">
        <is>
          <t>3. Add more jobs by inserting rows above the TOTALS row and copying the formulas down.</t>
        </is>
      </c>
    </row>
    <row r="9" ht="14" customHeight="1">
      <c r="B9" s="2" t="inlineStr">
        <is>
          <t>4. Six sample jobs are prefilled so you can see how the schedule behaves. Replace them with your own jobs.</t>
        </is>
      </c>
    </row>
    <row r="11">
      <c r="B11" s="3" t="inlineStr">
        <is>
          <t>Worked example</t>
        </is>
      </c>
    </row>
    <row r="12" ht="52" customHeight="1">
      <c r="B12" s="2" t="inlineStr">
        <is>
          <t>Job 2401 has a $2,450,000 contract plus $125,000 of approved change orders, so the revised contract is $2,575,000. Costs to date of $1,554,000 against an estimated total cost of $2,220,000 put the job at 70.0% complete, which earns $1,802,500 of revenue. Because the contractor has billed $1,890,000, the job is over billed by $87,500.</t>
        </is>
      </c>
    </row>
    <row r="14">
      <c r="B14" s="3" t="inlineStr">
        <is>
          <t>What each computed column means</t>
        </is>
      </c>
    </row>
    <row r="15">
      <c r="B15" s="4" t="inlineStr">
        <is>
          <t>Revised Contract</t>
        </is>
      </c>
      <c r="C15" s="5" t="inlineStr">
        <is>
          <t>Contract Value plus Approved Change Orders; the current full contract amount.</t>
        </is>
      </c>
    </row>
    <row r="16">
      <c r="B16" s="4" t="inlineStr">
        <is>
          <t>% Complete</t>
        </is>
      </c>
      <c r="C16" s="5" t="inlineStr">
        <is>
          <t>Cost to Date divided by Estimated Total Cost (cost-to-cost method); zero until an estimate is entered.</t>
        </is>
      </c>
    </row>
    <row r="17">
      <c r="B17" s="4" t="inlineStr">
        <is>
          <t>Earned Revenue</t>
        </is>
      </c>
      <c r="C17" s="5" t="inlineStr">
        <is>
          <t>% Complete multiplied by Revised Contract; the revenue recognized to date.</t>
        </is>
      </c>
    </row>
    <row r="18">
      <c r="B18" s="4" t="inlineStr">
        <is>
          <t>Over Billing</t>
        </is>
      </c>
      <c r="C18" s="5" t="inlineStr">
        <is>
          <t>Billed to Date minus Earned Revenue when positive; billings in excess of earned revenue.</t>
        </is>
      </c>
    </row>
    <row r="19">
      <c r="B19" s="4" t="inlineStr">
        <is>
          <t>Under Billing</t>
        </is>
      </c>
      <c r="C19" s="5" t="inlineStr">
        <is>
          <t>Earned Revenue minus Billed to Date when positive; costs and earnings in excess of billings.</t>
        </is>
      </c>
    </row>
    <row r="20">
      <c r="B20" s="4" t="inlineStr">
        <is>
          <t>Estimated Gross Profit</t>
        </is>
      </c>
      <c r="C20" s="5" t="inlineStr">
        <is>
          <t>Revised Contract minus Estimated Total Cost; the profit expected at completion.</t>
        </is>
      </c>
    </row>
    <row r="21">
      <c r="B21" s="4" t="inlineStr">
        <is>
          <t>Gross Profit %</t>
        </is>
      </c>
      <c r="C21" s="5" t="inlineStr">
        <is>
          <t>Estimated Gross Profit divided by Revised Contract.</t>
        </is>
      </c>
    </row>
    <row r="23">
      <c r="B23" s="3" t="inlineStr">
        <is>
          <t>Reading over and under billings</t>
        </is>
      </c>
    </row>
    <row r="24" ht="52" customHeight="1">
      <c r="B24" s="2" t="inlineStr">
        <is>
          <t>Over billing (billings in excess of costs and estimated earnings) is a LIABILITY on the balance sheet: cash has been collected ahead of the work. Under billing (costs and estimated earnings in excess of billings) is an ASSET: work is done but not yet billed. A job can only be one or the other, so exactly one of the two columns is zero on every row. Large or aging under billings are the first thing a surety will question.</t>
        </is>
      </c>
    </row>
  </sheetData>
  <mergeCells count="12">
    <mergeCell ref="B6:C6"/>
    <mergeCell ref="B24:C24"/>
    <mergeCell ref="B7:C7"/>
    <mergeCell ref="B11:C11"/>
    <mergeCell ref="B3:C3"/>
    <mergeCell ref="B5:C5"/>
    <mergeCell ref="B23:C23"/>
    <mergeCell ref="B14:C14"/>
    <mergeCell ref="B9:C9"/>
    <mergeCell ref="B1:C1"/>
    <mergeCell ref="B8:C8"/>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14" customWidth="1" min="4" max="4"/>
    <col width="14" customWidth="1" min="5" max="5"/>
    <col width="14" customWidth="1" min="6" max="6"/>
    <col width="13" customWidth="1" min="7" max="7"/>
    <col width="13" customWidth="1" min="8" max="8"/>
    <col width="11" customWidth="1" min="9" max="9"/>
    <col width="14" customWidth="1" min="10" max="10"/>
    <col width="12" customWidth="1" min="11" max="11"/>
    <col width="12" customWidth="1" min="12" max="12"/>
    <col width="14" customWidth="1" min="13" max="13"/>
    <col width="11" customWidth="1" min="14" max="14"/>
  </cols>
  <sheetData>
    <row r="1" ht="30" customHeight="1">
      <c r="A1" s="6" t="inlineStr">
        <is>
          <t>Job #</t>
        </is>
      </c>
      <c r="B1" s="6" t="inlineStr">
        <is>
          <t>Job Name</t>
        </is>
      </c>
      <c r="C1" s="6" t="inlineStr">
        <is>
          <t>Contract Value</t>
        </is>
      </c>
      <c r="D1" s="6" t="inlineStr">
        <is>
          <t>Approved Change Orders</t>
        </is>
      </c>
      <c r="E1" s="6" t="inlineStr">
        <is>
          <t>Revised Contract</t>
        </is>
      </c>
      <c r="F1" s="6" t="inlineStr">
        <is>
          <t>Estimated Total Cost</t>
        </is>
      </c>
      <c r="G1" s="6" t="inlineStr">
        <is>
          <t>Cost to Date</t>
        </is>
      </c>
      <c r="H1" s="6" t="inlineStr">
        <is>
          <t>Billed to Date</t>
        </is>
      </c>
      <c r="I1" s="6" t="inlineStr">
        <is>
          <t>% Complete</t>
        </is>
      </c>
      <c r="J1" s="6" t="inlineStr">
        <is>
          <t>Earned Revenue</t>
        </is>
      </c>
      <c r="K1" s="6" t="inlineStr">
        <is>
          <t>Over Billing</t>
        </is>
      </c>
      <c r="L1" s="6" t="inlineStr">
        <is>
          <t>Under Billing</t>
        </is>
      </c>
      <c r="M1" s="6" t="inlineStr">
        <is>
          <t>Estimated Gross Profit</t>
        </is>
      </c>
      <c r="N1" s="6" t="inlineStr">
        <is>
          <t>Gross Profit %</t>
        </is>
      </c>
    </row>
    <row r="2">
      <c r="A2" s="7" t="inlineStr">
        <is>
          <t>2401</t>
        </is>
      </c>
      <c r="B2" s="8" t="inlineStr">
        <is>
          <t>Riverside Office Park</t>
        </is>
      </c>
      <c r="C2" s="9" t="n">
        <v>2450000</v>
      </c>
      <c r="D2" s="9" t="n">
        <v>125000</v>
      </c>
      <c r="E2" s="10">
        <f>C2+D2</f>
        <v/>
      </c>
      <c r="F2" s="9" t="n">
        <v>2220000</v>
      </c>
      <c r="G2" s="9" t="n">
        <v>1554000</v>
      </c>
      <c r="H2" s="9" t="n">
        <v>1890000</v>
      </c>
      <c r="I2" s="11">
        <f>IF(F2=0,0,G2/F2)</f>
        <v/>
      </c>
      <c r="J2" s="10">
        <f>I2*E2</f>
        <v/>
      </c>
      <c r="K2" s="10">
        <f>MAX(0,H2-J2)</f>
        <v/>
      </c>
      <c r="L2" s="10">
        <f>MAX(0,J2-H2)</f>
        <v/>
      </c>
      <c r="M2" s="10">
        <f>E2-F2</f>
        <v/>
      </c>
      <c r="N2" s="11">
        <f>IF(E2=0,0,M2/E2)</f>
        <v/>
      </c>
    </row>
    <row r="3">
      <c r="A3" s="7" t="inlineStr">
        <is>
          <t>2402</t>
        </is>
      </c>
      <c r="B3" s="8" t="inlineStr">
        <is>
          <t>Maple Street Apartments</t>
        </is>
      </c>
      <c r="C3" s="9" t="n">
        <v>3800000</v>
      </c>
      <c r="D3" s="9" t="n">
        <v>0</v>
      </c>
      <c r="E3" s="10">
        <f>C3+D3</f>
        <v/>
      </c>
      <c r="F3" s="9" t="n">
        <v>3420000</v>
      </c>
      <c r="G3" s="9" t="n">
        <v>1197000</v>
      </c>
      <c r="H3" s="9" t="n">
        <v>1150000</v>
      </c>
      <c r="I3" s="11">
        <f>IF(F3=0,0,G3/F3)</f>
        <v/>
      </c>
      <c r="J3" s="10">
        <f>I3*E3</f>
        <v/>
      </c>
      <c r="K3" s="10">
        <f>MAX(0,H3-J3)</f>
        <v/>
      </c>
      <c r="L3" s="10">
        <f>MAX(0,J3-H3)</f>
        <v/>
      </c>
      <c r="M3" s="10">
        <f>E3-F3</f>
        <v/>
      </c>
      <c r="N3" s="11">
        <f>IF(E3=0,0,M3/E3)</f>
        <v/>
      </c>
    </row>
    <row r="4">
      <c r="A4" s="7" t="inlineStr">
        <is>
          <t>2403</t>
        </is>
      </c>
      <c r="B4" s="8" t="inlineStr">
        <is>
          <t>Highway 12 Bridge Repair</t>
        </is>
      </c>
      <c r="C4" s="9" t="n">
        <v>1275000</v>
      </c>
      <c r="D4" s="9" t="n">
        <v>85000</v>
      </c>
      <c r="E4" s="10">
        <f>C4+D4</f>
        <v/>
      </c>
      <c r="F4" s="9" t="n">
        <v>1150000</v>
      </c>
      <c r="G4" s="9" t="n">
        <v>1092500</v>
      </c>
      <c r="H4" s="9" t="n">
        <v>1320000</v>
      </c>
      <c r="I4" s="11">
        <f>IF(F4=0,0,G4/F4)</f>
        <v/>
      </c>
      <c r="J4" s="10">
        <f>I4*E4</f>
        <v/>
      </c>
      <c r="K4" s="10">
        <f>MAX(0,H4-J4)</f>
        <v/>
      </c>
      <c r="L4" s="10">
        <f>MAX(0,J4-H4)</f>
        <v/>
      </c>
      <c r="M4" s="10">
        <f>E4-F4</f>
        <v/>
      </c>
      <c r="N4" s="11">
        <f>IF(E4=0,0,M4/E4)</f>
        <v/>
      </c>
    </row>
    <row r="5">
      <c r="A5" s="7" t="inlineStr">
        <is>
          <t>2404</t>
        </is>
      </c>
      <c r="B5" s="8" t="inlineStr">
        <is>
          <t>Cedar Grove Clinic</t>
        </is>
      </c>
      <c r="C5" s="9" t="n">
        <v>940000</v>
      </c>
      <c r="D5" s="9" t="n">
        <v>40000</v>
      </c>
      <c r="E5" s="10">
        <f>C5+D5</f>
        <v/>
      </c>
      <c r="F5" s="9" t="n">
        <v>855000</v>
      </c>
      <c r="G5" s="9" t="n">
        <v>427500</v>
      </c>
      <c r="H5" s="9" t="n">
        <v>410000</v>
      </c>
      <c r="I5" s="11">
        <f>IF(F5=0,0,G5/F5)</f>
        <v/>
      </c>
      <c r="J5" s="10">
        <f>I5*E5</f>
        <v/>
      </c>
      <c r="K5" s="10">
        <f>MAX(0,H5-J5)</f>
        <v/>
      </c>
      <c r="L5" s="10">
        <f>MAX(0,J5-H5)</f>
        <v/>
      </c>
      <c r="M5" s="10">
        <f>E5-F5</f>
        <v/>
      </c>
      <c r="N5" s="11">
        <f>IF(E5=0,0,M5/E5)</f>
        <v/>
      </c>
    </row>
    <row r="6">
      <c r="A6" s="7" t="inlineStr">
        <is>
          <t>2405</t>
        </is>
      </c>
      <c r="B6" s="8" t="inlineStr">
        <is>
          <t>Northside Warehouse Expansion</t>
        </is>
      </c>
      <c r="C6" s="9" t="n">
        <v>1680000</v>
      </c>
      <c r="D6" s="9" t="n">
        <v>-60000</v>
      </c>
      <c r="E6" s="10">
        <f>C6+D6</f>
        <v/>
      </c>
      <c r="F6" s="9" t="n">
        <v>1510000</v>
      </c>
      <c r="G6" s="9" t="n">
        <v>604000</v>
      </c>
      <c r="H6" s="9" t="n">
        <v>720000</v>
      </c>
      <c r="I6" s="11">
        <f>IF(F6=0,0,G6/F6)</f>
        <v/>
      </c>
      <c r="J6" s="10">
        <f>I6*E6</f>
        <v/>
      </c>
      <c r="K6" s="10">
        <f>MAX(0,H6-J6)</f>
        <v/>
      </c>
      <c r="L6" s="10">
        <f>MAX(0,J6-H6)</f>
        <v/>
      </c>
      <c r="M6" s="10">
        <f>E6-F6</f>
        <v/>
      </c>
      <c r="N6" s="11">
        <f>IF(E6=0,0,M6/E6)</f>
        <v/>
      </c>
    </row>
    <row r="7">
      <c r="A7" s="7" t="inlineStr">
        <is>
          <t>2406</t>
        </is>
      </c>
      <c r="B7" s="8" t="inlineStr">
        <is>
          <t>Elm School Gymnasium</t>
        </is>
      </c>
      <c r="C7" s="9" t="n">
        <v>2150000</v>
      </c>
      <c r="D7" s="9" t="n">
        <v>95000</v>
      </c>
      <c r="E7" s="10">
        <f>C7+D7</f>
        <v/>
      </c>
      <c r="F7" s="9" t="n">
        <v>1995000</v>
      </c>
      <c r="G7" s="9" t="n">
        <v>399000</v>
      </c>
      <c r="H7" s="9" t="n">
        <v>350000</v>
      </c>
      <c r="I7" s="11">
        <f>IF(F7=0,0,G7/F7)</f>
        <v/>
      </c>
      <c r="J7" s="10">
        <f>I7*E7</f>
        <v/>
      </c>
      <c r="K7" s="10">
        <f>MAX(0,H7-J7)</f>
        <v/>
      </c>
      <c r="L7" s="10">
        <f>MAX(0,J7-H7)</f>
        <v/>
      </c>
      <c r="M7" s="10">
        <f>E7-F7</f>
        <v/>
      </c>
      <c r="N7" s="11">
        <f>IF(E7=0,0,M7/E7)</f>
        <v/>
      </c>
    </row>
    <row r="8">
      <c r="A8" s="12" t="n"/>
      <c r="B8" s="12" t="inlineStr">
        <is>
          <t>TOTALS</t>
        </is>
      </c>
      <c r="C8" s="13">
        <f>SUM(C2:C7)</f>
        <v/>
      </c>
      <c r="D8" s="13">
        <f>SUM(D2:D7)</f>
        <v/>
      </c>
      <c r="E8" s="13">
        <f>SUM(E2:E7)</f>
        <v/>
      </c>
      <c r="F8" s="13">
        <f>SUM(F2:F7)</f>
        <v/>
      </c>
      <c r="G8" s="13">
        <f>SUM(G2:G7)</f>
        <v/>
      </c>
      <c r="H8" s="13">
        <f>SUM(H2:H7)</f>
        <v/>
      </c>
      <c r="I8" s="14">
        <f>IF(F8=0,0,G8/F8)</f>
        <v/>
      </c>
      <c r="J8" s="13">
        <f>SUM(J2:J7)</f>
        <v/>
      </c>
      <c r="K8" s="13">
        <f>SUM(K2:K7)</f>
        <v/>
      </c>
      <c r="L8" s="13">
        <f>SUM(L2:L7)</f>
        <v/>
      </c>
      <c r="M8" s="13">
        <f>SUM(M2:M7)</f>
        <v/>
      </c>
      <c r="N8" s="14">
        <f>IF(E8=0,0,M8/E8)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2026-07-18T07:41:15Z</dcterms:created>
  <dcterms:modified xsi:type="dcterms:W3CDTF">2026-07-18T07:41:15Z</dcterms:modified>
</cp:coreProperties>
</file>