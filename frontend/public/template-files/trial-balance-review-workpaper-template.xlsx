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Paste Import" state="visible" r:id="rId5"/>
    <sheet sheetId="3" name="Manual Input" state="visible" r:id="rId6"/>
    <sheet sheetId="4" name="Review" state="visible" r:id="rId7"/>
    <sheet sheetId="5" name="Summary" state="visible" r:id="rId8"/>
    <sheet sheetId="6" name="Lists" state="visible" r:id="rId9"/>
  </sheets>
  <definedNames>
    <definedName name="_xlnm.Print_Area" localSheetId="4">'Summary'!$A1:$H22</definedName>
  </definedNames>
  <calcPr calcId="171027" fullCalcOnLoad="1"/>
</workbook>
</file>

<file path=xl/sharedStrings.xml><?xml version="1.0" encoding="utf-8"?>
<sst xmlns="http://schemas.openxmlformats.org/spreadsheetml/2006/main" count="265" uniqueCount="119">
  <si>
    <t>Trial Balance Review Workpaper</t>
  </si>
  <si>
    <t>Client Name</t>
  </si>
  <si>
    <t>Northstar Components LLC</t>
  </si>
  <si>
    <t>Period End</t>
  </si>
  <si>
    <t>Prepared By</t>
  </si>
  <si>
    <t>Taylor Morgan</t>
  </si>
  <si>
    <t>Review Date</t>
  </si>
  <si>
    <t>Input Mode</t>
  </si>
  <si>
    <t>Paste Import</t>
  </si>
  <si>
    <t>Currency</t>
  </si>
  <si>
    <t>USD</t>
  </si>
  <si>
    <t>Materiality Amount</t>
  </si>
  <si>
    <t>Materiality Percentage</t>
  </si>
  <si>
    <t>Workflow</t>
  </si>
  <si>
    <t>1. Confirm the client, period, preparer, selected input mode, and materiality settings.</t>
  </si>
  <si>
    <t>2. Paste or manually enter a balanced trial balance and map each account to a review category.</t>
  </si>
  <si>
    <t>3. Review mapping, sign, and materiality flags; proposed adjustments use positive debit and negative credit signs.</t>
  </si>
  <si>
    <t>4. Print or export the Summary after all Review items are resolved.</t>
  </si>
  <si>
    <t>Color</t>
  </si>
  <si>
    <t>Meaning</t>
  </si>
  <si>
    <t>Blue text</t>
  </si>
  <si>
    <t>Editable input</t>
  </si>
  <si>
    <t>Black text</t>
  </si>
  <si>
    <t>Formula or calculated result</t>
  </si>
  <si>
    <t>Amber or red</t>
  </si>
  <si>
    <t>Review item or failed control</t>
  </si>
  <si>
    <t>Paste Import — Trial Balance</t>
  </si>
  <si>
    <t>Enter balanced debit and credit columns in blue cells. Proposed adjustments use positive debit and negative credit signs.</t>
  </si>
  <si>
    <t>Account Number</t>
  </si>
  <si>
    <t>Account Name</t>
  </si>
  <si>
    <t>Account Type</t>
  </si>
  <si>
    <t>Current Debit</t>
  </si>
  <si>
    <t>Current Credit</t>
  </si>
  <si>
    <t>Prior Debit</t>
  </si>
  <si>
    <t>Prior Credit</t>
  </si>
  <si>
    <t>Review Category</t>
  </si>
  <si>
    <t>Proposed Adjustment</t>
  </si>
  <si>
    <t>Notes</t>
  </si>
  <si>
    <t>1000</t>
  </si>
  <si>
    <t>Operating Cash</t>
  </si>
  <si>
    <t>Asset</t>
  </si>
  <si>
    <t>Cash</t>
  </si>
  <si>
    <t>Material cash movement</t>
  </si>
  <si>
    <t>1100</t>
  </si>
  <si>
    <t>Accounts Receivable</t>
  </si>
  <si>
    <t>Receivables</t>
  </si>
  <si>
    <t>Proposed debit adjustment</t>
  </si>
  <si>
    <t>1200</t>
  </si>
  <si>
    <t>Inventory</t>
  </si>
  <si>
    <t>Growth requires review</t>
  </si>
  <si>
    <t>1300</t>
  </si>
  <si>
    <t>Prepaid Expenses</t>
  </si>
  <si>
    <t>Other</t>
  </si>
  <si>
    <t/>
  </si>
  <si>
    <t>1500</t>
  </si>
  <si>
    <t>Property and Equipment</t>
  </si>
  <si>
    <t>Fixed Assets</t>
  </si>
  <si>
    <t>1590</t>
  </si>
  <si>
    <t>Accumulated Depreciation</t>
  </si>
  <si>
    <t>Credit balance flagged by sign rule</t>
  </si>
  <si>
    <t>2000</t>
  </si>
  <si>
    <t>Accounts Payable</t>
  </si>
  <si>
    <t>Liability</t>
  </si>
  <si>
    <t>Payables</t>
  </si>
  <si>
    <t>2100</t>
  </si>
  <si>
    <t>Accrued Expenses</t>
  </si>
  <si>
    <t>2500</t>
  </si>
  <si>
    <t>Term Debt</t>
  </si>
  <si>
    <t>Debt</t>
  </si>
  <si>
    <t>3000</t>
  </si>
  <si>
    <t>Members' Equity</t>
  </si>
  <si>
    <t>Equity</t>
  </si>
  <si>
    <t>4000</t>
  </si>
  <si>
    <t>Product Revenue</t>
  </si>
  <si>
    <t>Revenue</t>
  </si>
  <si>
    <t>Proposed credit adjustment</t>
  </si>
  <si>
    <t>5000</t>
  </si>
  <si>
    <t>Cost of Goods Sold</t>
  </si>
  <si>
    <t>Expense</t>
  </si>
  <si>
    <t>Operating Expenses</t>
  </si>
  <si>
    <t>6100</t>
  </si>
  <si>
    <t>Payroll Expense</t>
  </si>
  <si>
    <t>6200</t>
  </si>
  <si>
    <t>Rent Expense</t>
  </si>
  <si>
    <t>6900</t>
  </si>
  <si>
    <t>New Compliance Expense</t>
  </si>
  <si>
    <t>New account intentionally unmapped</t>
  </si>
  <si>
    <t>Manual Input — Trial Balance</t>
  </si>
  <si>
    <t>Trial Balance Review</t>
  </si>
  <si>
    <t>Formula-driven mapping, sign, and materiality review of the selected input mode.</t>
  </si>
  <si>
    <t>Current Net</t>
  </si>
  <si>
    <t>Prior Net</t>
  </si>
  <si>
    <t>Change $</t>
  </si>
  <si>
    <t>Change %</t>
  </si>
  <si>
    <t>Adjusted Balance</t>
  </si>
  <si>
    <t>Mapping</t>
  </si>
  <si>
    <t>Sign</t>
  </si>
  <si>
    <t>Materiality</t>
  </si>
  <si>
    <t>Status</t>
  </si>
  <si>
    <t>Trial Balance Review — Summary</t>
  </si>
  <si>
    <t>Printable balance, adjustment, mapping, sign, and materiality controls</t>
  </si>
  <si>
    <t>Client</t>
  </si>
  <si>
    <t>Current Debits</t>
  </si>
  <si>
    <t>Current Credits</t>
  </si>
  <si>
    <t>Current Difference</t>
  </si>
  <si>
    <t>Proposed Adjustments</t>
  </si>
  <si>
    <t>Adjusted Difference</t>
  </si>
  <si>
    <t>Material Movement Count</t>
  </si>
  <si>
    <t>Unusual Sign Count</t>
  </si>
  <si>
    <t>Unmapped Count</t>
  </si>
  <si>
    <t>Open Review Count</t>
  </si>
  <si>
    <t>Reviewer Notes</t>
  </si>
  <si>
    <t>Resolve mapping, unusual-sign, and material-movement review items before sign-off. Proposed adjustments use positive debit and negative credit signs.</t>
  </si>
  <si>
    <t>Review</t>
  </si>
  <si>
    <t>Complete</t>
  </si>
  <si>
    <t>Manual Input</t>
  </si>
  <si>
    <t>OK</t>
  </si>
  <si>
    <t>Unmapped</t>
  </si>
  <si>
    <t>Unusual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</si>
</sst>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 d, yyyy"/>
    <numFmt numFmtId="165" formatCode="$#,##0;[Red]($#,##0);-"/>
    <numFmt numFmtId="166" formatCode="0.0%"/>
    <numFmt numFmtId="167" formatCode="$#,##0;[Red]($#,##0);0"/>
  </numFmts>
  <fonts count="11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color rgb="FF0000FF"/>
      <sz val="10"/>
      <name val="Aptos"/>
    </font>
    <font>
      <b/>
      <color rgb="FFFFFFFF"/>
    </font>
    <font>
      <i/>
      <color rgb="FF6B7280"/>
    </font>
    <font>
      <b/>
      <color rgb="FFFFFFFF"/>
      <sz val="10"/>
      <name val="Aptos"/>
    </font>
    <font>
      <color rgb="FF111827"/>
      <sz val="10"/>
      <name val="Aptos"/>
    </font>
    <font>
      <b/>
    </font>
    <font>
      <b/>
      <color rgb="FF6B7280"/>
    </font>
    <font>
      <b/>
      <color rgb="FF111827"/>
      <sz val="18"/>
    </font>
    <font>
      <color rgb="FF0000FF"/>
    </font>
  </fonts>
  <fills count="5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FF6FF"/>
      </patternFill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166" fontId="2" fillId="3" borderId="1" xfId="0" applyNumberFormat="1" applyFont="1" applyFill="1" applyBorder="1"/>
    <xf numFmtId="0" fontId="3" fillId="4" borderId="0" xfId="0" applyFont="1" applyFill="1"/>
    <xf numFmtId="0" fontId="0" fillId="0" borderId="0" xfId="0" applyAlignment="1">
      <alignment vertical="center" wrapText="1"/>
    </xf>
    <xf numFmtId="0" fontId="3" fillId="2" borderId="0" xfId="0" applyFont="1" applyFill="1"/>
    <xf numFmtId="0" fontId="4" fillId="0" borderId="0" xfId="0" applyFont="1"/>
    <xf numFmtId="0" fontId="5" fillId="2" borderId="2" xfId="0" applyFont="1" applyFill="1" applyBorder="1" applyAlignment="1">
      <alignment vertical="center" wrapText="1"/>
    </xf>
    <xf numFmtId="165" fontId="5" fillId="2" borderId="2" xfId="0" applyNumberFormat="1" applyFont="1" applyFill="1" applyBorder="1" applyAlignment="1">
      <alignment vertical="center" wrapText="1"/>
    </xf>
    <xf numFmtId="0" fontId="2" fillId="3" borderId="2" xfId="0" applyFont="1" applyFill="1" applyBorder="1"/>
    <xf numFmtId="165" fontId="2" fillId="3" borderId="2" xfId="0" applyNumberFormat="1" applyFont="1" applyFill="1" applyBorder="1"/>
    <xf numFmtId="0" fontId="6" fillId="0" borderId="0" xfId="0" applyFont="1"/>
    <xf numFmtId="165" fontId="6" fillId="0" borderId="0" xfId="0" applyNumberFormat="1" applyFont="1"/>
    <xf numFmtId="166" fontId="6" fillId="0" borderId="0" xfId="0" applyNumberFormat="1" applyFont="1"/>
    <xf numFmtId="0" fontId="0" fillId="0" borderId="2" xfId="0" applyBorder="1"/>
    <xf numFmtId="164" fontId="0" fillId="0" borderId="2" xfId="0" applyNumberFormat="1" applyBorder="1"/>
    <xf numFmtId="0" fontId="7" fillId="0" borderId="2" xfId="0" applyFont="1" applyBorder="1"/>
    <xf numFmtId="0" fontId="8" fillId="3" borderId="2" xfId="0" applyFont="1" applyFill="1" applyBorder="1"/>
    <xf numFmtId="167" fontId="9" fillId="0" borderId="2" xfId="0" applyNumberFormat="1" applyFont="1" applyBorder="1"/>
    <xf numFmtId="1" fontId="9" fillId="0" borderId="2" xfId="0" applyNumberFormat="1" applyFont="1" applyBorder="1"/>
    <xf numFmtId="0" fontId="3" fillId="2" borderId="2" xfId="0" applyFont="1" applyFill="1" applyBorder="1"/>
    <xf numFmtId="0" fontId="10" fillId="3" borderId="2" xfId="0" applyFont="1" applyFill="1" applyBorder="1" applyAlignment="1">
      <alignment vertical="top" wrapText="1"/>
    </xf>
  </cellXfs>
  <cellStyles count="1">
    <cellStyle name="Normal" xfId="0" builtinId="0"/>
  </cellStyles>
  <dxfs count="22">
    <dxf>
      <font>
        <color rgb="FFD97706"/>
      </font>
      <fill>
        <patternFill patternType="solid">
          <fgColor rgb="FFFEF3C7"/>
        </patternFill>
      </fill>
    </dxf>
    <dxf>
      <font>
        <color rgb="FFDC2626"/>
      </font>
      <fill>
        <patternFill patternType="solid">
          <fgColor rgb="FFFEE2E2"/>
        </patternFill>
      </fill>
    </dxf>
    <dxf>
      <font>
        <color rgb="FFD97706"/>
      </font>
      <fill>
        <patternFill patternType="solid">
          <fgColor rgb="FFFEF3C7"/>
        </patternFill>
      </fill>
    </dxf>
    <dxf>
      <font>
        <color rgb="FF047857"/>
      </font>
      <fill>
        <patternFill patternType="solid">
          <fgColor rgb="FFD1FAE5"/>
        </patternFill>
      </fill>
    </dxf>
    <dxf>
      <font>
        <color rgb="FF047857"/>
      </font>
      <fill>
        <patternFill patternType="solid">
          <fgColor rgb="FFD1FAE5"/>
        </patternFill>
      </fill>
    </dxf>
    <dxf>
      <font>
        <color rgb="FFD97706"/>
      </font>
      <fill>
        <patternFill patternType="solid">
          <fgColor rgb="FFFEF3C7"/>
        </patternFill>
      </fill>
    </dxf>
    <dxf>
      <font>
        <color rgb="FFDC2626"/>
      </font>
      <fill>
        <patternFill patternType="solid">
          <fgColor rgb="FFFEE2E2"/>
        </patternFill>
      </fill>
    </dxf>
    <dxf>
      <font>
        <color rgb="FFD97706"/>
      </font>
      <fill>
        <patternFill patternType="solid">
          <fgColor rgb="FFFEF3C7"/>
        </patternFill>
      </fill>
    </dxf>
    <dxf>
      <font>
        <color rgb="FF047857"/>
      </font>
      <fill>
        <patternFill patternType="solid">
          <fgColor rgb="FFD1FAE5"/>
        </patternFill>
      </fill>
    </dxf>
    <dxf>
      <font>
        <color rgb="FF047857"/>
      </font>
      <fill>
        <patternFill patternType="solid">
          <fgColor rgb="FFD1FAE5"/>
        </patternFill>
      </fill>
    </dxf>
    <dxf>
      <font>
        <color rgb="FFD97706"/>
      </font>
      <fill>
        <patternFill patternType="solid">
          <fgColor rgb="FFFEF3C7"/>
        </patternFill>
      </fill>
    </dxf>
    <dxf>
      <font>
        <color rgb="FFDC2626"/>
      </font>
      <fill>
        <patternFill patternType="solid">
          <fgColor rgb="FFFEE2E2"/>
        </patternFill>
      </fill>
    </dxf>
    <dxf>
      <font>
        <color rgb="FFD97706"/>
      </font>
      <fill>
        <patternFill patternType="solid">
          <fgColor rgb="FFFEF3C7"/>
        </patternFill>
      </fill>
    </dxf>
    <dxf>
      <font>
        <color rgb="FF047857"/>
      </font>
      <fill>
        <patternFill patternType="solid">
          <fgColor rgb="FFD1FAE5"/>
        </patternFill>
      </fill>
    </dxf>
    <dxf>
      <font>
        <color rgb="FF047857"/>
      </font>
      <fill>
        <patternFill patternType="solid">
          <fgColor rgb="FFD1FAE5"/>
        </patternFill>
      </fill>
    </dxf>
    <dxf>
      <font>
        <color rgb="FFD97706"/>
      </font>
      <fill>
        <patternFill patternType="solid">
          <fgColor rgb="FFFEF3C7"/>
        </patternFill>
      </fill>
    </dxf>
    <dxf>
      <font>
        <color rgb="FFDC2626"/>
      </font>
      <fill>
        <patternFill patternType="solid">
          <fgColor rgb="FFFEE2E2"/>
        </patternFill>
      </fill>
    </dxf>
    <dxf>
      <font>
        <color rgb="FFD97706"/>
      </font>
      <fill>
        <patternFill patternType="solid">
          <fgColor rgb="FFFEF3C7"/>
        </patternFill>
      </fill>
    </dxf>
    <dxf>
      <font>
        <color rgb="FF047857"/>
      </font>
      <fill>
        <patternFill patternType="solid">
          <fgColor rgb="FFD1FAE5"/>
        </patternFill>
      </fill>
    </dxf>
    <dxf>
      <font>
        <color rgb="FF047857"/>
      </font>
      <fill>
        <patternFill patternType="solid">
          <fgColor rgb="FFD1FAE5"/>
        </patternFill>
      </fill>
    </dxf>
    <dxf>
      <font>
        <color rgb="FFD97706"/>
      </font>
      <fill>
        <patternFill patternType="solid">
          <fgColor rgb="FFFEF3C7"/>
        </patternFill>
      </fill>
    </dxf>
    <dxf>
      <font>
        <color rgb="FF047857"/>
      </font>
      <fill>
        <patternFill patternType="solid">
          <fgColor rgb="FFD1FA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showGridLines="0"/>
  </sheetViews>
  <sheetFormatPr defaultRowHeight="15" outlineLevelRow="0" outlineLevelCol="0" x14ac:dyDescent="55"/>
  <cols>
    <col min="1" max="1" width="25" customWidth="1"/>
    <col min="2" max="2" width="22" customWidth="1"/>
    <col min="3" max="8" width="14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/>
    <row r="4" spans="1:8" x14ac:dyDescent="0.25">
      <c r="A4" t="s">
        <v>1</v>
      </c>
      <c r="B4" s="2" t="s">
        <v>2</v>
      </c>
    </row>
    <row r="5" spans="1:8" x14ac:dyDescent="0.25">
      <c r="A5" t="s">
        <v>3</v>
      </c>
      <c r="B5" s="3">
        <v>46203</v>
      </c>
    </row>
    <row r="6" spans="1:8" x14ac:dyDescent="0.25">
      <c r="A6" t="s">
        <v>4</v>
      </c>
      <c r="B6" s="2" t="s">
        <v>5</v>
      </c>
    </row>
    <row r="7" spans="1:8" x14ac:dyDescent="0.25">
      <c r="A7" t="s">
        <v>6</v>
      </c>
      <c r="B7" s="3">
        <v>46213</v>
      </c>
    </row>
    <row r="8" spans="1:8" x14ac:dyDescent="0.25">
      <c r="A8" t="s">
        <v>7</v>
      </c>
      <c r="B8" s="2" t="s">
        <v>8</v>
      </c>
    </row>
    <row r="9" spans="1:8" x14ac:dyDescent="0.25">
      <c r="A9" t="s">
        <v>9</v>
      </c>
      <c r="B9" s="2" t="s">
        <v>10</v>
      </c>
    </row>
    <row r="10" spans="1:8" x14ac:dyDescent="0.25">
      <c r="A10" t="s">
        <v>11</v>
      </c>
      <c r="B10" s="4">
        <v>5000</v>
      </c>
    </row>
    <row r="11" spans="1:8" x14ac:dyDescent="0.25">
      <c r="A11" t="s">
        <v>12</v>
      </c>
      <c r="B11" s="5">
        <v>0.1</v>
      </c>
    </row>
    <row r="12" spans="1:8" x14ac:dyDescent="0.25"/>
    <row r="13" spans="1:8" x14ac:dyDescent="0.25"/>
    <row r="14" spans="1:8" x14ac:dyDescent="0.25">
      <c r="A14" s="6" t="s">
        <v>13</v>
      </c>
      <c r="B14" s="6"/>
      <c r="C14" s="6"/>
      <c r="D14" s="6"/>
      <c r="E14" s="6"/>
      <c r="F14" s="6"/>
      <c r="G14" s="6"/>
      <c r="H14" s="6"/>
    </row>
    <row r="15" ht="28" customHeight="1" spans="1:8" x14ac:dyDescent="0.25">
      <c r="A15" s="7" t="s">
        <v>14</v>
      </c>
      <c r="B15" s="7"/>
      <c r="C15" s="7"/>
      <c r="D15" s="7"/>
      <c r="E15" s="7"/>
      <c r="F15" s="7"/>
      <c r="G15" s="7"/>
      <c r="H15" s="7"/>
    </row>
    <row r="16" ht="28" customHeight="1" spans="1:8" x14ac:dyDescent="0.25">
      <c r="A16" s="7" t="s">
        <v>15</v>
      </c>
      <c r="B16" s="7"/>
      <c r="C16" s="7"/>
      <c r="D16" s="7"/>
      <c r="E16" s="7"/>
      <c r="F16" s="7"/>
      <c r="G16" s="7"/>
      <c r="H16" s="7"/>
    </row>
    <row r="17" ht="28" customHeight="1" spans="1:8" x14ac:dyDescent="0.25">
      <c r="A17" s="7" t="s">
        <v>16</v>
      </c>
      <c r="B17" s="7"/>
      <c r="C17" s="7"/>
      <c r="D17" s="7"/>
      <c r="E17" s="7"/>
      <c r="F17" s="7"/>
      <c r="G17" s="7"/>
      <c r="H17" s="7"/>
    </row>
    <row r="18" ht="28" customHeight="1" spans="1:8" x14ac:dyDescent="0.25">
      <c r="A18" s="7" t="s">
        <v>17</v>
      </c>
      <c r="B18" s="7"/>
      <c r="C18" s="7"/>
      <c r="D18" s="7"/>
      <c r="E18" s="7"/>
      <c r="F18" s="7"/>
      <c r="G18" s="7"/>
      <c r="H18" s="7"/>
    </row>
    <row r="19" spans="1:8" x14ac:dyDescent="0.25"/>
    <row r="20" spans="1:8" x14ac:dyDescent="0.25"/>
    <row r="21" spans="1:8" x14ac:dyDescent="0.25"/>
    <row r="22" spans="1:8" s="8" customFormat="1" x14ac:dyDescent="0.25">
      <c r="A22" s="8" t="s">
        <v>18</v>
      </c>
      <c r="B22" s="8" t="s">
        <v>19</v>
      </c>
      <c r="C22" s="8"/>
      <c r="D22" s="8"/>
      <c r="E22" s="8"/>
      <c r="F22" s="8"/>
      <c r="G22" s="8"/>
      <c r="H22" s="8"/>
    </row>
    <row r="23" spans="1:8" x14ac:dyDescent="0.25">
      <c r="A23" t="s">
        <v>20</v>
      </c>
      <c r="B23" t="s">
        <v>21</v>
      </c>
    </row>
    <row r="24" spans="1:8" x14ac:dyDescent="0.25">
      <c r="A24" t="s">
        <v>22</v>
      </c>
      <c r="B24" t="s">
        <v>23</v>
      </c>
    </row>
    <row r="25" spans="1:8" x14ac:dyDescent="0.25">
      <c r="A25" t="s">
        <v>24</v>
      </c>
      <c r="B25" t="s">
        <v>25</v>
      </c>
    </row>
  </sheetData>
  <mergeCells count="6">
    <mergeCell ref="A1:H2"/>
    <mergeCell ref="A14:H14"/>
    <mergeCell ref="A15:H15"/>
    <mergeCell ref="A16:H16"/>
    <mergeCell ref="A17:H17"/>
    <mergeCell ref="A18:H18"/>
  </mergeCells>
  <dataValidations count="1">
    <dataValidation type="list" sqref="B8">
      <formula1>'Lists'!$D$2:$D$3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9" customWidth="1"/>
    <col min="3" max="7" width="17" customWidth="1"/>
    <col min="8" max="8" width="23" customWidth="1"/>
    <col min="9" max="9" width="20" customWidth="1"/>
    <col min="10" max="10" width="32" customWidth="1"/>
  </cols>
  <sheetData>
    <row r="1" ht="30" customHeight="1" spans="1:10" x14ac:dyDescent="0.25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/>
    <row r="4" spans="1:10" x14ac:dyDescent="0.25">
      <c r="A4" s="9" t="s">
        <v>27</v>
      </c>
      <c r="B4" s="9"/>
      <c r="C4" s="9"/>
      <c r="D4" s="9"/>
      <c r="E4" s="9"/>
      <c r="F4" s="9"/>
      <c r="G4" s="9"/>
      <c r="H4" s="9"/>
      <c r="I4" s="9"/>
      <c r="J4" s="9"/>
    </row>
    <row r="5" ht="42" customHeight="1" spans="1:10" x14ac:dyDescent="0.25">
      <c r="A5" s="10" t="s">
        <v>28</v>
      </c>
      <c r="B5" s="10" t="s">
        <v>29</v>
      </c>
      <c r="C5" s="10" t="s">
        <v>30</v>
      </c>
      <c r="D5" s="11" t="s">
        <v>31</v>
      </c>
      <c r="E5" s="11" t="s">
        <v>32</v>
      </c>
      <c r="F5" s="11" t="s">
        <v>33</v>
      </c>
      <c r="G5" s="11" t="s">
        <v>34</v>
      </c>
      <c r="H5" s="10" t="s">
        <v>35</v>
      </c>
      <c r="I5" s="11" t="s">
        <v>36</v>
      </c>
      <c r="J5" s="10" t="s">
        <v>37</v>
      </c>
    </row>
    <row r="6" spans="1:10" x14ac:dyDescent="0.25">
      <c r="A6" s="12" t="s">
        <v>38</v>
      </c>
      <c r="B6" s="12" t="s">
        <v>39</v>
      </c>
      <c r="C6" s="12" t="s">
        <v>40</v>
      </c>
      <c r="D6" s="13">
        <v>100000</v>
      </c>
      <c r="E6" s="13">
        <v>0</v>
      </c>
      <c r="F6" s="13">
        <v>80000</v>
      </c>
      <c r="G6" s="13">
        <v>0</v>
      </c>
      <c r="H6" s="12" t="s">
        <v>41</v>
      </c>
      <c r="I6" s="13">
        <v>0</v>
      </c>
      <c r="J6" s="12" t="s">
        <v>42</v>
      </c>
    </row>
    <row r="7" spans="1:10" x14ac:dyDescent="0.25">
      <c r="A7" s="12" t="s">
        <v>43</v>
      </c>
      <c r="B7" s="12" t="s">
        <v>44</v>
      </c>
      <c r="C7" s="12" t="s">
        <v>40</v>
      </c>
      <c r="D7" s="13">
        <v>50000</v>
      </c>
      <c r="E7" s="13">
        <v>0</v>
      </c>
      <c r="F7" s="13">
        <v>50000</v>
      </c>
      <c r="G7" s="13">
        <v>0</v>
      </c>
      <c r="H7" s="12" t="s">
        <v>45</v>
      </c>
      <c r="I7" s="13">
        <v>2000</v>
      </c>
      <c r="J7" s="12" t="s">
        <v>46</v>
      </c>
    </row>
    <row r="8" spans="1:10" x14ac:dyDescent="0.25">
      <c r="A8" s="12" t="s">
        <v>47</v>
      </c>
      <c r="B8" s="12" t="s">
        <v>48</v>
      </c>
      <c r="C8" s="12" t="s">
        <v>40</v>
      </c>
      <c r="D8" s="13">
        <v>30000</v>
      </c>
      <c r="E8" s="13">
        <v>0</v>
      </c>
      <c r="F8" s="13">
        <v>20000</v>
      </c>
      <c r="G8" s="13">
        <v>0</v>
      </c>
      <c r="H8" s="12" t="s">
        <v>48</v>
      </c>
      <c r="I8" s="13">
        <v>0</v>
      </c>
      <c r="J8" s="12" t="s">
        <v>49</v>
      </c>
    </row>
    <row r="9" spans="1:10" x14ac:dyDescent="0.25">
      <c r="A9" s="12" t="s">
        <v>50</v>
      </c>
      <c r="B9" s="12" t="s">
        <v>51</v>
      </c>
      <c r="C9" s="12" t="s">
        <v>40</v>
      </c>
      <c r="D9" s="13">
        <v>5000</v>
      </c>
      <c r="E9" s="13">
        <v>0</v>
      </c>
      <c r="F9" s="13">
        <v>5000</v>
      </c>
      <c r="G9" s="13">
        <v>0</v>
      </c>
      <c r="H9" s="12" t="s">
        <v>52</v>
      </c>
      <c r="I9" s="13">
        <v>0</v>
      </c>
      <c r="J9" s="12" t="s">
        <v>53</v>
      </c>
    </row>
    <row r="10" spans="1:10" x14ac:dyDescent="0.25">
      <c r="A10" s="12" t="s">
        <v>54</v>
      </c>
      <c r="B10" s="12" t="s">
        <v>55</v>
      </c>
      <c r="C10" s="12" t="s">
        <v>40</v>
      </c>
      <c r="D10" s="13">
        <v>80000</v>
      </c>
      <c r="E10" s="13">
        <v>0</v>
      </c>
      <c r="F10" s="13">
        <v>75000</v>
      </c>
      <c r="G10" s="13">
        <v>0</v>
      </c>
      <c r="H10" s="12" t="s">
        <v>56</v>
      </c>
      <c r="I10" s="13">
        <v>0</v>
      </c>
      <c r="J10" s="12" t="s">
        <v>53</v>
      </c>
    </row>
    <row r="11" spans="1:10" x14ac:dyDescent="0.25">
      <c r="A11" s="12" t="s">
        <v>57</v>
      </c>
      <c r="B11" s="12" t="s">
        <v>58</v>
      </c>
      <c r="C11" s="12" t="s">
        <v>40</v>
      </c>
      <c r="D11" s="13">
        <v>0</v>
      </c>
      <c r="E11" s="13">
        <v>25000</v>
      </c>
      <c r="F11" s="13">
        <v>0</v>
      </c>
      <c r="G11" s="13">
        <v>20000</v>
      </c>
      <c r="H11" s="12" t="s">
        <v>56</v>
      </c>
      <c r="I11" s="13">
        <v>0</v>
      </c>
      <c r="J11" s="12" t="s">
        <v>59</v>
      </c>
    </row>
    <row r="12" spans="1:10" x14ac:dyDescent="0.25">
      <c r="A12" s="12" t="s">
        <v>60</v>
      </c>
      <c r="B12" s="12" t="s">
        <v>61</v>
      </c>
      <c r="C12" s="12" t="s">
        <v>62</v>
      </c>
      <c r="D12" s="13">
        <v>0</v>
      </c>
      <c r="E12" s="13">
        <v>40000</v>
      </c>
      <c r="F12" s="13">
        <v>0</v>
      </c>
      <c r="G12" s="13">
        <v>35000</v>
      </c>
      <c r="H12" s="12" t="s">
        <v>63</v>
      </c>
      <c r="I12" s="13">
        <v>0</v>
      </c>
      <c r="J12" s="12" t="s">
        <v>53</v>
      </c>
    </row>
    <row r="13" spans="1:10" x14ac:dyDescent="0.25">
      <c r="A13" s="12" t="s">
        <v>64</v>
      </c>
      <c r="B13" s="12" t="s">
        <v>65</v>
      </c>
      <c r="C13" s="12" t="s">
        <v>62</v>
      </c>
      <c r="D13" s="13">
        <v>0</v>
      </c>
      <c r="E13" s="13">
        <v>15000</v>
      </c>
      <c r="F13" s="13">
        <v>0</v>
      </c>
      <c r="G13" s="13">
        <v>10000</v>
      </c>
      <c r="H13" s="12" t="s">
        <v>63</v>
      </c>
      <c r="I13" s="13">
        <v>0</v>
      </c>
      <c r="J13" s="12" t="s">
        <v>53</v>
      </c>
    </row>
    <row r="14" spans="1:10" x14ac:dyDescent="0.25">
      <c r="A14" s="12" t="s">
        <v>66</v>
      </c>
      <c r="B14" s="12" t="s">
        <v>67</v>
      </c>
      <c r="C14" s="12" t="s">
        <v>62</v>
      </c>
      <c r="D14" s="13">
        <v>0</v>
      </c>
      <c r="E14" s="13">
        <v>60000</v>
      </c>
      <c r="F14" s="13">
        <v>0</v>
      </c>
      <c r="G14" s="13">
        <v>55000</v>
      </c>
      <c r="H14" s="12" t="s">
        <v>68</v>
      </c>
      <c r="I14" s="13">
        <v>0</v>
      </c>
      <c r="J14" s="12" t="s">
        <v>53</v>
      </c>
    </row>
    <row r="15" spans="1:10" x14ac:dyDescent="0.25">
      <c r="A15" s="12" t="s">
        <v>69</v>
      </c>
      <c r="B15" s="12" t="s">
        <v>70</v>
      </c>
      <c r="C15" s="12" t="s">
        <v>71</v>
      </c>
      <c r="D15" s="13">
        <v>0</v>
      </c>
      <c r="E15" s="13">
        <v>110000</v>
      </c>
      <c r="F15" s="13">
        <v>0</v>
      </c>
      <c r="G15" s="13">
        <v>95000</v>
      </c>
      <c r="H15" s="12" t="s">
        <v>71</v>
      </c>
      <c r="I15" s="13">
        <v>0</v>
      </c>
      <c r="J15" s="12" t="s">
        <v>53</v>
      </c>
    </row>
    <row r="16" spans="1:10" x14ac:dyDescent="0.25">
      <c r="A16" s="12" t="s">
        <v>72</v>
      </c>
      <c r="B16" s="12" t="s">
        <v>73</v>
      </c>
      <c r="C16" s="12" t="s">
        <v>74</v>
      </c>
      <c r="D16" s="13">
        <v>0</v>
      </c>
      <c r="E16" s="13">
        <v>200000</v>
      </c>
      <c r="F16" s="13">
        <v>0</v>
      </c>
      <c r="G16" s="13">
        <v>180000</v>
      </c>
      <c r="H16" s="12" t="s">
        <v>74</v>
      </c>
      <c r="I16" s="13">
        <v>-2000</v>
      </c>
      <c r="J16" s="12" t="s">
        <v>75</v>
      </c>
    </row>
    <row r="17" spans="1:10" x14ac:dyDescent="0.25">
      <c r="A17" s="12" t="s">
        <v>76</v>
      </c>
      <c r="B17" s="12" t="s">
        <v>77</v>
      </c>
      <c r="C17" s="12" t="s">
        <v>78</v>
      </c>
      <c r="D17" s="13">
        <v>100000</v>
      </c>
      <c r="E17" s="13">
        <v>0</v>
      </c>
      <c r="F17" s="13">
        <v>90000</v>
      </c>
      <c r="G17" s="13">
        <v>0</v>
      </c>
      <c r="H17" s="12" t="s">
        <v>79</v>
      </c>
      <c r="I17" s="13">
        <v>0</v>
      </c>
      <c r="J17" s="12" t="s">
        <v>53</v>
      </c>
    </row>
    <row r="18" spans="1:10" x14ac:dyDescent="0.25">
      <c r="A18" s="12" t="s">
        <v>80</v>
      </c>
      <c r="B18" s="12" t="s">
        <v>81</v>
      </c>
      <c r="C18" s="12" t="s">
        <v>78</v>
      </c>
      <c r="D18" s="13">
        <v>60000</v>
      </c>
      <c r="E18" s="13">
        <v>0</v>
      </c>
      <c r="F18" s="13">
        <v>55000</v>
      </c>
      <c r="G18" s="13">
        <v>0</v>
      </c>
      <c r="H18" s="12" t="s">
        <v>79</v>
      </c>
      <c r="I18" s="13">
        <v>0</v>
      </c>
      <c r="J18" s="12" t="s">
        <v>53</v>
      </c>
    </row>
    <row r="19" spans="1:10" x14ac:dyDescent="0.25">
      <c r="A19" s="12" t="s">
        <v>82</v>
      </c>
      <c r="B19" s="12" t="s">
        <v>83</v>
      </c>
      <c r="C19" s="12" t="s">
        <v>78</v>
      </c>
      <c r="D19" s="13">
        <v>20000</v>
      </c>
      <c r="E19" s="13">
        <v>0</v>
      </c>
      <c r="F19" s="13">
        <v>20000</v>
      </c>
      <c r="G19" s="13">
        <v>0</v>
      </c>
      <c r="H19" s="12" t="s">
        <v>79</v>
      </c>
      <c r="I19" s="13">
        <v>0</v>
      </c>
      <c r="J19" s="12" t="s">
        <v>53</v>
      </c>
    </row>
    <row r="20" spans="1:10" x14ac:dyDescent="0.25">
      <c r="A20" s="12" t="s">
        <v>84</v>
      </c>
      <c r="B20" s="12" t="s">
        <v>85</v>
      </c>
      <c r="C20" s="12" t="s">
        <v>78</v>
      </c>
      <c r="D20" s="13">
        <v>5000</v>
      </c>
      <c r="E20" s="13">
        <v>0</v>
      </c>
      <c r="F20" s="13">
        <v>0</v>
      </c>
      <c r="G20" s="13">
        <v>0</v>
      </c>
      <c r="H20" s="12" t="s">
        <v>53</v>
      </c>
      <c r="I20" s="13">
        <v>0</v>
      </c>
      <c r="J20" s="12" t="s">
        <v>86</v>
      </c>
    </row>
    <row r="21" spans="1:10" x14ac:dyDescent="0.25">
      <c r="A21" s="12"/>
      <c r="B21" s="12"/>
      <c r="C21" s="12"/>
      <c r="D21" s="13"/>
      <c r="E21" s="13"/>
      <c r="F21" s="13"/>
      <c r="G21" s="13"/>
      <c r="H21" s="12"/>
      <c r="I21" s="13"/>
      <c r="J21" s="12"/>
    </row>
    <row r="22" spans="1:10" x14ac:dyDescent="0.25">
      <c r="A22" s="12"/>
      <c r="B22" s="12"/>
      <c r="C22" s="12"/>
      <c r="D22" s="13"/>
      <c r="E22" s="13"/>
      <c r="F22" s="13"/>
      <c r="G22" s="13"/>
      <c r="H22" s="12"/>
      <c r="I22" s="13"/>
      <c r="J22" s="12"/>
    </row>
    <row r="23" spans="1:10" x14ac:dyDescent="0.25">
      <c r="A23" s="12"/>
      <c r="B23" s="12"/>
      <c r="C23" s="12"/>
      <c r="D23" s="13"/>
      <c r="E23" s="13"/>
      <c r="F23" s="13"/>
      <c r="G23" s="13"/>
      <c r="H23" s="12"/>
      <c r="I23" s="13"/>
      <c r="J23" s="12"/>
    </row>
    <row r="24" spans="1:10" x14ac:dyDescent="0.25">
      <c r="A24" s="12"/>
      <c r="B24" s="12"/>
      <c r="C24" s="12"/>
      <c r="D24" s="13"/>
      <c r="E24" s="13"/>
      <c r="F24" s="13"/>
      <c r="G24" s="13"/>
      <c r="H24" s="12"/>
      <c r="I24" s="13"/>
      <c r="J24" s="12"/>
    </row>
    <row r="25" spans="1:10" x14ac:dyDescent="0.25">
      <c r="A25" s="12"/>
      <c r="B25" s="12"/>
      <c r="C25" s="12"/>
      <c r="D25" s="13"/>
      <c r="E25" s="13"/>
      <c r="F25" s="13"/>
      <c r="G25" s="13"/>
      <c r="H25" s="12"/>
      <c r="I25" s="13"/>
      <c r="J25" s="12"/>
    </row>
    <row r="26" spans="1:10" x14ac:dyDescent="0.25">
      <c r="A26" s="12"/>
      <c r="B26" s="12"/>
      <c r="C26" s="12"/>
      <c r="D26" s="13"/>
      <c r="E26" s="13"/>
      <c r="F26" s="13"/>
      <c r="G26" s="13"/>
      <c r="H26" s="12"/>
      <c r="I26" s="13"/>
      <c r="J26" s="12"/>
    </row>
    <row r="27" spans="1:10" x14ac:dyDescent="0.25">
      <c r="A27" s="12"/>
      <c r="B27" s="12"/>
      <c r="C27" s="12"/>
      <c r="D27" s="13"/>
      <c r="E27" s="13"/>
      <c r="F27" s="13"/>
      <c r="G27" s="13"/>
      <c r="H27" s="12"/>
      <c r="I27" s="13"/>
      <c r="J27" s="12"/>
    </row>
    <row r="28" spans="1:10" x14ac:dyDescent="0.25">
      <c r="A28" s="12"/>
      <c r="B28" s="12"/>
      <c r="C28" s="12"/>
      <c r="D28" s="13"/>
      <c r="E28" s="13"/>
      <c r="F28" s="13"/>
      <c r="G28" s="13"/>
      <c r="H28" s="12"/>
      <c r="I28" s="13"/>
      <c r="J28" s="12"/>
    </row>
    <row r="29" spans="1:10" x14ac:dyDescent="0.25">
      <c r="A29" s="12"/>
      <c r="B29" s="12"/>
      <c r="C29" s="12"/>
      <c r="D29" s="13"/>
      <c r="E29" s="13"/>
      <c r="F29" s="13"/>
      <c r="G29" s="13"/>
      <c r="H29" s="12"/>
      <c r="I29" s="13"/>
      <c r="J29" s="12"/>
    </row>
    <row r="30" spans="1:10" x14ac:dyDescent="0.25">
      <c r="A30" s="12"/>
      <c r="B30" s="12"/>
      <c r="C30" s="12"/>
      <c r="D30" s="13"/>
      <c r="E30" s="13"/>
      <c r="F30" s="13"/>
      <c r="G30" s="13"/>
      <c r="H30" s="12"/>
      <c r="I30" s="13"/>
      <c r="J30" s="12"/>
    </row>
    <row r="31" spans="1:10" x14ac:dyDescent="0.25">
      <c r="A31" s="12"/>
      <c r="B31" s="12"/>
      <c r="C31" s="12"/>
      <c r="D31" s="13"/>
      <c r="E31" s="13"/>
      <c r="F31" s="13"/>
      <c r="G31" s="13"/>
      <c r="H31" s="12"/>
      <c r="I31" s="13"/>
      <c r="J31" s="12"/>
    </row>
    <row r="32" spans="1:10" x14ac:dyDescent="0.25">
      <c r="A32" s="12"/>
      <c r="B32" s="12"/>
      <c r="C32" s="12"/>
      <c r="D32" s="13"/>
      <c r="E32" s="13"/>
      <c r="F32" s="13"/>
      <c r="G32" s="13"/>
      <c r="H32" s="12"/>
      <c r="I32" s="13"/>
      <c r="J32" s="12"/>
    </row>
    <row r="33" spans="1:10" x14ac:dyDescent="0.25">
      <c r="A33" s="12"/>
      <c r="B33" s="12"/>
      <c r="C33" s="12"/>
      <c r="D33" s="13"/>
      <c r="E33" s="13"/>
      <c r="F33" s="13"/>
      <c r="G33" s="13"/>
      <c r="H33" s="12"/>
      <c r="I33" s="13"/>
      <c r="J33" s="12"/>
    </row>
    <row r="34" spans="1:10" x14ac:dyDescent="0.25">
      <c r="A34" s="12"/>
      <c r="B34" s="12"/>
      <c r="C34" s="12"/>
      <c r="D34" s="13"/>
      <c r="E34" s="13"/>
      <c r="F34" s="13"/>
      <c r="G34" s="13"/>
      <c r="H34" s="12"/>
      <c r="I34" s="13"/>
      <c r="J34" s="12"/>
    </row>
    <row r="35" spans="1:10" x14ac:dyDescent="0.25">
      <c r="A35" s="12"/>
      <c r="B35" s="12"/>
      <c r="C35" s="12"/>
      <c r="D35" s="13"/>
      <c r="E35" s="13"/>
      <c r="F35" s="13"/>
      <c r="G35" s="13"/>
      <c r="H35" s="12"/>
      <c r="I35" s="13"/>
      <c r="J35" s="12"/>
    </row>
    <row r="36" spans="1:10" x14ac:dyDescent="0.25">
      <c r="A36" s="12"/>
      <c r="B36" s="12"/>
      <c r="C36" s="12"/>
      <c r="D36" s="13"/>
      <c r="E36" s="13"/>
      <c r="F36" s="13"/>
      <c r="G36" s="13"/>
      <c r="H36" s="12"/>
      <c r="I36" s="13"/>
      <c r="J36" s="12"/>
    </row>
    <row r="37" spans="1:10" x14ac:dyDescent="0.25">
      <c r="A37" s="12"/>
      <c r="B37" s="12"/>
      <c r="C37" s="12"/>
      <c r="D37" s="13"/>
      <c r="E37" s="13"/>
      <c r="F37" s="13"/>
      <c r="G37" s="13"/>
      <c r="H37" s="12"/>
      <c r="I37" s="13"/>
      <c r="J37" s="12"/>
    </row>
    <row r="38" spans="1:10" x14ac:dyDescent="0.25">
      <c r="A38" s="12"/>
      <c r="B38" s="12"/>
      <c r="C38" s="12"/>
      <c r="D38" s="13"/>
      <c r="E38" s="13"/>
      <c r="F38" s="13"/>
      <c r="G38" s="13"/>
      <c r="H38" s="12"/>
      <c r="I38" s="13"/>
      <c r="J38" s="12"/>
    </row>
    <row r="39" spans="1:10" x14ac:dyDescent="0.25">
      <c r="A39" s="12"/>
      <c r="B39" s="12"/>
      <c r="C39" s="12"/>
      <c r="D39" s="13"/>
      <c r="E39" s="13"/>
      <c r="F39" s="13"/>
      <c r="G39" s="13"/>
      <c r="H39" s="12"/>
      <c r="I39" s="13"/>
      <c r="J39" s="12"/>
    </row>
    <row r="40" spans="1:10" x14ac:dyDescent="0.25">
      <c r="A40" s="12"/>
      <c r="B40" s="12"/>
      <c r="C40" s="12"/>
      <c r="D40" s="13"/>
      <c r="E40" s="13"/>
      <c r="F40" s="13"/>
      <c r="G40" s="13"/>
      <c r="H40" s="12"/>
      <c r="I40" s="13"/>
      <c r="J40" s="12"/>
    </row>
    <row r="41" spans="1:10" x14ac:dyDescent="0.25">
      <c r="A41" s="12"/>
      <c r="B41" s="12"/>
      <c r="C41" s="12"/>
      <c r="D41" s="13"/>
      <c r="E41" s="13"/>
      <c r="F41" s="13"/>
      <c r="G41" s="13"/>
      <c r="H41" s="12"/>
      <c r="I41" s="13"/>
      <c r="J41" s="12"/>
    </row>
    <row r="42" spans="1:10" x14ac:dyDescent="0.25">
      <c r="A42" s="12"/>
      <c r="B42" s="12"/>
      <c r="C42" s="12"/>
      <c r="D42" s="13"/>
      <c r="E42" s="13"/>
      <c r="F42" s="13"/>
      <c r="G42" s="13"/>
      <c r="H42" s="12"/>
      <c r="I42" s="13"/>
      <c r="J42" s="12"/>
    </row>
    <row r="43" spans="1:10" x14ac:dyDescent="0.25">
      <c r="A43" s="12"/>
      <c r="B43" s="12"/>
      <c r="C43" s="12"/>
      <c r="D43" s="13"/>
      <c r="E43" s="13"/>
      <c r="F43" s="13"/>
      <c r="G43" s="13"/>
      <c r="H43" s="12"/>
      <c r="I43" s="13"/>
      <c r="J43" s="12"/>
    </row>
    <row r="44" spans="1:10" x14ac:dyDescent="0.25">
      <c r="A44" s="12"/>
      <c r="B44" s="12"/>
      <c r="C44" s="12"/>
      <c r="D44" s="13"/>
      <c r="E44" s="13"/>
      <c r="F44" s="13"/>
      <c r="G44" s="13"/>
      <c r="H44" s="12"/>
      <c r="I44" s="13"/>
      <c r="J44" s="12"/>
    </row>
    <row r="45" spans="1:10" x14ac:dyDescent="0.25">
      <c r="A45" s="12"/>
      <c r="B45" s="12"/>
      <c r="C45" s="12"/>
      <c r="D45" s="13"/>
      <c r="E45" s="13"/>
      <c r="F45" s="13"/>
      <c r="G45" s="13"/>
      <c r="H45" s="12"/>
      <c r="I45" s="13"/>
      <c r="J45" s="12"/>
    </row>
    <row r="46" spans="1:10" x14ac:dyDescent="0.25">
      <c r="A46" s="12"/>
      <c r="B46" s="12"/>
      <c r="C46" s="12"/>
      <c r="D46" s="13"/>
      <c r="E46" s="13"/>
      <c r="F46" s="13"/>
      <c r="G46" s="13"/>
      <c r="H46" s="12"/>
      <c r="I46" s="13"/>
      <c r="J46" s="12"/>
    </row>
    <row r="47" spans="1:10" x14ac:dyDescent="0.25">
      <c r="A47" s="12"/>
      <c r="B47" s="12"/>
      <c r="C47" s="12"/>
      <c r="D47" s="13"/>
      <c r="E47" s="13"/>
      <c r="F47" s="13"/>
      <c r="G47" s="13"/>
      <c r="H47" s="12"/>
      <c r="I47" s="13"/>
      <c r="J47" s="12"/>
    </row>
    <row r="48" spans="1:10" x14ac:dyDescent="0.25">
      <c r="A48" s="12"/>
      <c r="B48" s="12"/>
      <c r="C48" s="12"/>
      <c r="D48" s="13"/>
      <c r="E48" s="13"/>
      <c r="F48" s="13"/>
      <c r="G48" s="13"/>
      <c r="H48" s="12"/>
      <c r="I48" s="13"/>
      <c r="J48" s="12"/>
    </row>
    <row r="49" spans="1:10" x14ac:dyDescent="0.25">
      <c r="A49" s="12"/>
      <c r="B49" s="12"/>
      <c r="C49" s="12"/>
      <c r="D49" s="13"/>
      <c r="E49" s="13"/>
      <c r="F49" s="13"/>
      <c r="G49" s="13"/>
      <c r="H49" s="12"/>
      <c r="I49" s="13"/>
      <c r="J49" s="12"/>
    </row>
    <row r="50" spans="1:10" x14ac:dyDescent="0.25">
      <c r="A50" s="12"/>
      <c r="B50" s="12"/>
      <c r="C50" s="12"/>
      <c r="D50" s="13"/>
      <c r="E50" s="13"/>
      <c r="F50" s="13"/>
      <c r="G50" s="13"/>
      <c r="H50" s="12"/>
      <c r="I50" s="13"/>
      <c r="J50" s="12"/>
    </row>
    <row r="51" spans="1:10" x14ac:dyDescent="0.25">
      <c r="A51" s="12"/>
      <c r="B51" s="12"/>
      <c r="C51" s="12"/>
      <c r="D51" s="13"/>
      <c r="E51" s="13"/>
      <c r="F51" s="13"/>
      <c r="G51" s="13"/>
      <c r="H51" s="12"/>
      <c r="I51" s="13"/>
      <c r="J51" s="12"/>
    </row>
    <row r="52" spans="1:10" x14ac:dyDescent="0.25">
      <c r="A52" s="12"/>
      <c r="B52" s="12"/>
      <c r="C52" s="12"/>
      <c r="D52" s="13"/>
      <c r="E52" s="13"/>
      <c r="F52" s="13"/>
      <c r="G52" s="13"/>
      <c r="H52" s="12"/>
      <c r="I52" s="13"/>
      <c r="J52" s="12"/>
    </row>
    <row r="53" spans="1:10" x14ac:dyDescent="0.25">
      <c r="A53" s="12"/>
      <c r="B53" s="12"/>
      <c r="C53" s="12"/>
      <c r="D53" s="13"/>
      <c r="E53" s="13"/>
      <c r="F53" s="13"/>
      <c r="G53" s="13"/>
      <c r="H53" s="12"/>
      <c r="I53" s="13"/>
      <c r="J53" s="12"/>
    </row>
    <row r="54" spans="1:10" x14ac:dyDescent="0.25">
      <c r="A54" s="12"/>
      <c r="B54" s="12"/>
      <c r="C54" s="12"/>
      <c r="D54" s="13"/>
      <c r="E54" s="13"/>
      <c r="F54" s="13"/>
      <c r="G54" s="13"/>
      <c r="H54" s="12"/>
      <c r="I54" s="13"/>
      <c r="J54" s="12"/>
    </row>
    <row r="55" spans="1:10" x14ac:dyDescent="0.25">
      <c r="A55" s="12"/>
      <c r="B55" s="12"/>
      <c r="C55" s="12"/>
      <c r="D55" s="13"/>
      <c r="E55" s="13"/>
      <c r="F55" s="13"/>
      <c r="G55" s="13"/>
      <c r="H55" s="12"/>
      <c r="I55" s="13"/>
      <c r="J55" s="12"/>
    </row>
    <row r="56" spans="1:10" x14ac:dyDescent="0.25">
      <c r="A56" s="12"/>
      <c r="B56" s="12"/>
      <c r="C56" s="12"/>
      <c r="D56" s="13"/>
      <c r="E56" s="13"/>
      <c r="F56" s="13"/>
      <c r="G56" s="13"/>
      <c r="H56" s="12"/>
      <c r="I56" s="13"/>
      <c r="J56" s="12"/>
    </row>
    <row r="57" spans="1:10" x14ac:dyDescent="0.25">
      <c r="A57" s="12"/>
      <c r="B57" s="12"/>
      <c r="C57" s="12"/>
      <c r="D57" s="13"/>
      <c r="E57" s="13"/>
      <c r="F57" s="13"/>
      <c r="G57" s="13"/>
      <c r="H57" s="12"/>
      <c r="I57" s="13"/>
      <c r="J57" s="12"/>
    </row>
    <row r="58" spans="1:10" x14ac:dyDescent="0.25">
      <c r="A58" s="12"/>
      <c r="B58" s="12"/>
      <c r="C58" s="12"/>
      <c r="D58" s="13"/>
      <c r="E58" s="13"/>
      <c r="F58" s="13"/>
      <c r="G58" s="13"/>
      <c r="H58" s="12"/>
      <c r="I58" s="13"/>
      <c r="J58" s="12"/>
    </row>
    <row r="59" spans="1:10" x14ac:dyDescent="0.25">
      <c r="A59" s="12"/>
      <c r="B59" s="12"/>
      <c r="C59" s="12"/>
      <c r="D59" s="13"/>
      <c r="E59" s="13"/>
      <c r="F59" s="13"/>
      <c r="G59" s="13"/>
      <c r="H59" s="12"/>
      <c r="I59" s="13"/>
      <c r="J59" s="12"/>
    </row>
    <row r="60" spans="1:10" x14ac:dyDescent="0.25">
      <c r="A60" s="12"/>
      <c r="B60" s="12"/>
      <c r="C60" s="12"/>
      <c r="D60" s="13"/>
      <c r="E60" s="13"/>
      <c r="F60" s="13"/>
      <c r="G60" s="13"/>
      <c r="H60" s="12"/>
      <c r="I60" s="13"/>
      <c r="J60" s="12"/>
    </row>
    <row r="61" spans="1:10" x14ac:dyDescent="0.25">
      <c r="A61" s="12"/>
      <c r="B61" s="12"/>
      <c r="C61" s="12"/>
      <c r="D61" s="13"/>
      <c r="E61" s="13"/>
      <c r="F61" s="13"/>
      <c r="G61" s="13"/>
      <c r="H61" s="12"/>
      <c r="I61" s="13"/>
      <c r="J61" s="12"/>
    </row>
    <row r="62" spans="1:10" x14ac:dyDescent="0.25">
      <c r="A62" s="12"/>
      <c r="B62" s="12"/>
      <c r="C62" s="12"/>
      <c r="D62" s="13"/>
      <c r="E62" s="13"/>
      <c r="F62" s="13"/>
      <c r="G62" s="13"/>
      <c r="H62" s="12"/>
      <c r="I62" s="13"/>
      <c r="J62" s="12"/>
    </row>
    <row r="63" spans="1:10" x14ac:dyDescent="0.25">
      <c r="A63" s="12"/>
      <c r="B63" s="12"/>
      <c r="C63" s="12"/>
      <c r="D63" s="13"/>
      <c r="E63" s="13"/>
      <c r="F63" s="13"/>
      <c r="G63" s="13"/>
      <c r="H63" s="12"/>
      <c r="I63" s="13"/>
      <c r="J63" s="12"/>
    </row>
    <row r="64" spans="1:10" x14ac:dyDescent="0.25">
      <c r="A64" s="12"/>
      <c r="B64" s="12"/>
      <c r="C64" s="12"/>
      <c r="D64" s="13"/>
      <c r="E64" s="13"/>
      <c r="F64" s="13"/>
      <c r="G64" s="13"/>
      <c r="H64" s="12"/>
      <c r="I64" s="13"/>
      <c r="J64" s="12"/>
    </row>
    <row r="65" spans="1:10" x14ac:dyDescent="0.25">
      <c r="A65" s="12"/>
      <c r="B65" s="12"/>
      <c r="C65" s="12"/>
      <c r="D65" s="13"/>
      <c r="E65" s="13"/>
      <c r="F65" s="13"/>
      <c r="G65" s="13"/>
      <c r="H65" s="12"/>
      <c r="I65" s="13"/>
      <c r="J65" s="12"/>
    </row>
    <row r="66" spans="1:10" x14ac:dyDescent="0.25">
      <c r="A66" s="12"/>
      <c r="B66" s="12"/>
      <c r="C66" s="12"/>
      <c r="D66" s="13"/>
      <c r="E66" s="13"/>
      <c r="F66" s="13"/>
      <c r="G66" s="13"/>
      <c r="H66" s="12"/>
      <c r="I66" s="13"/>
      <c r="J66" s="12"/>
    </row>
    <row r="67" spans="1:10" x14ac:dyDescent="0.25">
      <c r="A67" s="12"/>
      <c r="B67" s="12"/>
      <c r="C67" s="12"/>
      <c r="D67" s="13"/>
      <c r="E67" s="13"/>
      <c r="F67" s="13"/>
      <c r="G67" s="13"/>
      <c r="H67" s="12"/>
      <c r="I67" s="13"/>
      <c r="J67" s="12"/>
    </row>
    <row r="68" spans="1:10" x14ac:dyDescent="0.25">
      <c r="A68" s="12"/>
      <c r="B68" s="12"/>
      <c r="C68" s="12"/>
      <c r="D68" s="13"/>
      <c r="E68" s="13"/>
      <c r="F68" s="13"/>
      <c r="G68" s="13"/>
      <c r="H68" s="12"/>
      <c r="I68" s="13"/>
      <c r="J68" s="12"/>
    </row>
    <row r="69" spans="1:10" x14ac:dyDescent="0.25">
      <c r="A69" s="12"/>
      <c r="B69" s="12"/>
      <c r="C69" s="12"/>
      <c r="D69" s="13"/>
      <c r="E69" s="13"/>
      <c r="F69" s="13"/>
      <c r="G69" s="13"/>
      <c r="H69" s="12"/>
      <c r="I69" s="13"/>
      <c r="J69" s="12"/>
    </row>
    <row r="70" spans="1:10" x14ac:dyDescent="0.25">
      <c r="A70" s="12"/>
      <c r="B70" s="12"/>
      <c r="C70" s="12"/>
      <c r="D70" s="13"/>
      <c r="E70" s="13"/>
      <c r="F70" s="13"/>
      <c r="G70" s="13"/>
      <c r="H70" s="12"/>
      <c r="I70" s="13"/>
      <c r="J70" s="12"/>
    </row>
    <row r="71" spans="1:10" x14ac:dyDescent="0.25">
      <c r="A71" s="12"/>
      <c r="B71" s="12"/>
      <c r="C71" s="12"/>
      <c r="D71" s="13"/>
      <c r="E71" s="13"/>
      <c r="F71" s="13"/>
      <c r="G71" s="13"/>
      <c r="H71" s="12"/>
      <c r="I71" s="13"/>
      <c r="J71" s="12"/>
    </row>
    <row r="72" spans="1:10" x14ac:dyDescent="0.25">
      <c r="A72" s="12"/>
      <c r="B72" s="12"/>
      <c r="C72" s="12"/>
      <c r="D72" s="13"/>
      <c r="E72" s="13"/>
      <c r="F72" s="13"/>
      <c r="G72" s="13"/>
      <c r="H72" s="12"/>
      <c r="I72" s="13"/>
      <c r="J72" s="12"/>
    </row>
    <row r="73" spans="1:10" x14ac:dyDescent="0.25">
      <c r="A73" s="12"/>
      <c r="B73" s="12"/>
      <c r="C73" s="12"/>
      <c r="D73" s="13"/>
      <c r="E73" s="13"/>
      <c r="F73" s="13"/>
      <c r="G73" s="13"/>
      <c r="H73" s="12"/>
      <c r="I73" s="13"/>
      <c r="J73" s="12"/>
    </row>
    <row r="74" spans="1:10" x14ac:dyDescent="0.25">
      <c r="A74" s="12"/>
      <c r="B74" s="12"/>
      <c r="C74" s="12"/>
      <c r="D74" s="13"/>
      <c r="E74" s="13"/>
      <c r="F74" s="13"/>
      <c r="G74" s="13"/>
      <c r="H74" s="12"/>
      <c r="I74" s="13"/>
      <c r="J74" s="12"/>
    </row>
    <row r="75" spans="1:10" x14ac:dyDescent="0.25">
      <c r="A75" s="12"/>
      <c r="B75" s="12"/>
      <c r="C75" s="12"/>
      <c r="D75" s="13"/>
      <c r="E75" s="13"/>
      <c r="F75" s="13"/>
      <c r="G75" s="13"/>
      <c r="H75" s="12"/>
      <c r="I75" s="13"/>
      <c r="J75" s="12"/>
    </row>
    <row r="76" spans="1:10" x14ac:dyDescent="0.25">
      <c r="A76" s="12"/>
      <c r="B76" s="12"/>
      <c r="C76" s="12"/>
      <c r="D76" s="13"/>
      <c r="E76" s="13"/>
      <c r="F76" s="13"/>
      <c r="G76" s="13"/>
      <c r="H76" s="12"/>
      <c r="I76" s="13"/>
      <c r="J76" s="12"/>
    </row>
    <row r="77" spans="1:10" x14ac:dyDescent="0.25">
      <c r="A77" s="12"/>
      <c r="B77" s="12"/>
      <c r="C77" s="12"/>
      <c r="D77" s="13"/>
      <c r="E77" s="13"/>
      <c r="F77" s="13"/>
      <c r="G77" s="13"/>
      <c r="H77" s="12"/>
      <c r="I77" s="13"/>
      <c r="J77" s="12"/>
    </row>
    <row r="78" spans="1:10" x14ac:dyDescent="0.25">
      <c r="A78" s="12"/>
      <c r="B78" s="12"/>
      <c r="C78" s="12"/>
      <c r="D78" s="13"/>
      <c r="E78" s="13"/>
      <c r="F78" s="13"/>
      <c r="G78" s="13"/>
      <c r="H78" s="12"/>
      <c r="I78" s="13"/>
      <c r="J78" s="12"/>
    </row>
    <row r="79" spans="1:10" x14ac:dyDescent="0.25">
      <c r="A79" s="12"/>
      <c r="B79" s="12"/>
      <c r="C79" s="12"/>
      <c r="D79" s="13"/>
      <c r="E79" s="13"/>
      <c r="F79" s="13"/>
      <c r="G79" s="13"/>
      <c r="H79" s="12"/>
      <c r="I79" s="13"/>
      <c r="J79" s="12"/>
    </row>
    <row r="80" spans="1:10" x14ac:dyDescent="0.25">
      <c r="A80" s="12"/>
      <c r="B80" s="12"/>
      <c r="C80" s="12"/>
      <c r="D80" s="13"/>
      <c r="E80" s="13"/>
      <c r="F80" s="13"/>
      <c r="G80" s="13"/>
      <c r="H80" s="12"/>
      <c r="I80" s="13"/>
      <c r="J80" s="12"/>
    </row>
    <row r="81" spans="1:10" x14ac:dyDescent="0.25">
      <c r="A81" s="12"/>
      <c r="B81" s="12"/>
      <c r="C81" s="12"/>
      <c r="D81" s="13"/>
      <c r="E81" s="13"/>
      <c r="F81" s="13"/>
      <c r="G81" s="13"/>
      <c r="H81" s="12"/>
      <c r="I81" s="13"/>
      <c r="J81" s="12"/>
    </row>
    <row r="82" spans="1:10" x14ac:dyDescent="0.25">
      <c r="A82" s="12"/>
      <c r="B82" s="12"/>
      <c r="C82" s="12"/>
      <c r="D82" s="13"/>
      <c r="E82" s="13"/>
      <c r="F82" s="13"/>
      <c r="G82" s="13"/>
      <c r="H82" s="12"/>
      <c r="I82" s="13"/>
      <c r="J82" s="12"/>
    </row>
    <row r="83" spans="1:10" x14ac:dyDescent="0.25">
      <c r="A83" s="12"/>
      <c r="B83" s="12"/>
      <c r="C83" s="12"/>
      <c r="D83" s="13"/>
      <c r="E83" s="13"/>
      <c r="F83" s="13"/>
      <c r="G83" s="13"/>
      <c r="H83" s="12"/>
      <c r="I83" s="13"/>
      <c r="J83" s="12"/>
    </row>
    <row r="84" spans="1:10" x14ac:dyDescent="0.25">
      <c r="A84" s="12"/>
      <c r="B84" s="12"/>
      <c r="C84" s="12"/>
      <c r="D84" s="13"/>
      <c r="E84" s="13"/>
      <c r="F84" s="13"/>
      <c r="G84" s="13"/>
      <c r="H84" s="12"/>
      <c r="I84" s="13"/>
      <c r="J84" s="12"/>
    </row>
    <row r="85" spans="1:10" x14ac:dyDescent="0.25">
      <c r="A85" s="12"/>
      <c r="B85" s="12"/>
      <c r="C85" s="12"/>
      <c r="D85" s="13"/>
      <c r="E85" s="13"/>
      <c r="F85" s="13"/>
      <c r="G85" s="13"/>
      <c r="H85" s="12"/>
      <c r="I85" s="13"/>
      <c r="J85" s="12"/>
    </row>
    <row r="86" spans="1:10" x14ac:dyDescent="0.25">
      <c r="A86" s="12"/>
      <c r="B86" s="12"/>
      <c r="C86" s="12"/>
      <c r="D86" s="13"/>
      <c r="E86" s="13"/>
      <c r="F86" s="13"/>
      <c r="G86" s="13"/>
      <c r="H86" s="12"/>
      <c r="I86" s="13"/>
      <c r="J86" s="12"/>
    </row>
    <row r="87" spans="1:10" x14ac:dyDescent="0.25">
      <c r="A87" s="12"/>
      <c r="B87" s="12"/>
      <c r="C87" s="12"/>
      <c r="D87" s="13"/>
      <c r="E87" s="13"/>
      <c r="F87" s="13"/>
      <c r="G87" s="13"/>
      <c r="H87" s="12"/>
      <c r="I87" s="13"/>
      <c r="J87" s="12"/>
    </row>
    <row r="88" spans="1:10" x14ac:dyDescent="0.25">
      <c r="A88" s="12"/>
      <c r="B88" s="12"/>
      <c r="C88" s="12"/>
      <c r="D88" s="13"/>
      <c r="E88" s="13"/>
      <c r="F88" s="13"/>
      <c r="G88" s="13"/>
      <c r="H88" s="12"/>
      <c r="I88" s="13"/>
      <c r="J88" s="12"/>
    </row>
    <row r="89" spans="1:10" x14ac:dyDescent="0.25">
      <c r="A89" s="12"/>
      <c r="B89" s="12"/>
      <c r="C89" s="12"/>
      <c r="D89" s="13"/>
      <c r="E89" s="13"/>
      <c r="F89" s="13"/>
      <c r="G89" s="13"/>
      <c r="H89" s="12"/>
      <c r="I89" s="13"/>
      <c r="J89" s="12"/>
    </row>
    <row r="90" spans="1:10" x14ac:dyDescent="0.25">
      <c r="A90" s="12"/>
      <c r="B90" s="12"/>
      <c r="C90" s="12"/>
      <c r="D90" s="13"/>
      <c r="E90" s="13"/>
      <c r="F90" s="13"/>
      <c r="G90" s="13"/>
      <c r="H90" s="12"/>
      <c r="I90" s="13"/>
      <c r="J90" s="12"/>
    </row>
    <row r="91" spans="1:10" x14ac:dyDescent="0.25">
      <c r="A91" s="12"/>
      <c r="B91" s="12"/>
      <c r="C91" s="12"/>
      <c r="D91" s="13"/>
      <c r="E91" s="13"/>
      <c r="F91" s="13"/>
      <c r="G91" s="13"/>
      <c r="H91" s="12"/>
      <c r="I91" s="13"/>
      <c r="J91" s="12"/>
    </row>
    <row r="92" spans="1:10" x14ac:dyDescent="0.25">
      <c r="A92" s="12"/>
      <c r="B92" s="12"/>
      <c r="C92" s="12"/>
      <c r="D92" s="13"/>
      <c r="E92" s="13"/>
      <c r="F92" s="13"/>
      <c r="G92" s="13"/>
      <c r="H92" s="12"/>
      <c r="I92" s="13"/>
      <c r="J92" s="12"/>
    </row>
    <row r="93" spans="1:10" x14ac:dyDescent="0.25">
      <c r="A93" s="12"/>
      <c r="B93" s="12"/>
      <c r="C93" s="12"/>
      <c r="D93" s="13"/>
      <c r="E93" s="13"/>
      <c r="F93" s="13"/>
      <c r="G93" s="13"/>
      <c r="H93" s="12"/>
      <c r="I93" s="13"/>
      <c r="J93" s="12"/>
    </row>
    <row r="94" spans="1:10" x14ac:dyDescent="0.25">
      <c r="A94" s="12"/>
      <c r="B94" s="12"/>
      <c r="C94" s="12"/>
      <c r="D94" s="13"/>
      <c r="E94" s="13"/>
      <c r="F94" s="13"/>
      <c r="G94" s="13"/>
      <c r="H94" s="12"/>
      <c r="I94" s="13"/>
      <c r="J94" s="12"/>
    </row>
    <row r="95" spans="1:10" x14ac:dyDescent="0.25">
      <c r="A95" s="12"/>
      <c r="B95" s="12"/>
      <c r="C95" s="12"/>
      <c r="D95" s="13"/>
      <c r="E95" s="13"/>
      <c r="F95" s="13"/>
      <c r="G95" s="13"/>
      <c r="H95" s="12"/>
      <c r="I95" s="13"/>
      <c r="J95" s="12"/>
    </row>
    <row r="96" spans="1:10" x14ac:dyDescent="0.25">
      <c r="A96" s="12"/>
      <c r="B96" s="12"/>
      <c r="C96" s="12"/>
      <c r="D96" s="13"/>
      <c r="E96" s="13"/>
      <c r="F96" s="13"/>
      <c r="G96" s="13"/>
      <c r="H96" s="12"/>
      <c r="I96" s="13"/>
      <c r="J96" s="12"/>
    </row>
    <row r="97" spans="1:10" x14ac:dyDescent="0.25">
      <c r="A97" s="12"/>
      <c r="B97" s="12"/>
      <c r="C97" s="12"/>
      <c r="D97" s="13"/>
      <c r="E97" s="13"/>
      <c r="F97" s="13"/>
      <c r="G97" s="13"/>
      <c r="H97" s="12"/>
      <c r="I97" s="13"/>
      <c r="J97" s="12"/>
    </row>
    <row r="98" spans="1:10" x14ac:dyDescent="0.25">
      <c r="A98" s="12"/>
      <c r="B98" s="12"/>
      <c r="C98" s="12"/>
      <c r="D98" s="13"/>
      <c r="E98" s="13"/>
      <c r="F98" s="13"/>
      <c r="G98" s="13"/>
      <c r="H98" s="12"/>
      <c r="I98" s="13"/>
      <c r="J98" s="12"/>
    </row>
    <row r="99" spans="1:10" x14ac:dyDescent="0.25">
      <c r="A99" s="12"/>
      <c r="B99" s="12"/>
      <c r="C99" s="12"/>
      <c r="D99" s="13"/>
      <c r="E99" s="13"/>
      <c r="F99" s="13"/>
      <c r="G99" s="13"/>
      <c r="H99" s="12"/>
      <c r="I99" s="13"/>
      <c r="J99" s="12"/>
    </row>
    <row r="100" spans="1:10" x14ac:dyDescent="0.25">
      <c r="A100" s="12"/>
      <c r="B100" s="12"/>
      <c r="C100" s="12"/>
      <c r="D100" s="13"/>
      <c r="E100" s="13"/>
      <c r="F100" s="13"/>
      <c r="G100" s="13"/>
      <c r="H100" s="12"/>
      <c r="I100" s="13"/>
      <c r="J100" s="12"/>
    </row>
    <row r="101" spans="1:10" x14ac:dyDescent="0.25">
      <c r="A101" s="12"/>
      <c r="B101" s="12"/>
      <c r="C101" s="12"/>
      <c r="D101" s="13"/>
      <c r="E101" s="13"/>
      <c r="F101" s="13"/>
      <c r="G101" s="13"/>
      <c r="H101" s="12"/>
      <c r="I101" s="13"/>
      <c r="J101" s="12"/>
    </row>
    <row r="102" spans="1:10" x14ac:dyDescent="0.25">
      <c r="A102" s="12"/>
      <c r="B102" s="12"/>
      <c r="C102" s="12"/>
      <c r="D102" s="13"/>
      <c r="E102" s="13"/>
      <c r="F102" s="13"/>
      <c r="G102" s="13"/>
      <c r="H102" s="12"/>
      <c r="I102" s="13"/>
      <c r="J102" s="12"/>
    </row>
    <row r="103" spans="1:10" x14ac:dyDescent="0.25">
      <c r="A103" s="12"/>
      <c r="B103" s="12"/>
      <c r="C103" s="12"/>
      <c r="D103" s="13"/>
      <c r="E103" s="13"/>
      <c r="F103" s="13"/>
      <c r="G103" s="13"/>
      <c r="H103" s="12"/>
      <c r="I103" s="13"/>
      <c r="J103" s="12"/>
    </row>
    <row r="104" spans="1:10" x14ac:dyDescent="0.25">
      <c r="A104" s="12"/>
      <c r="B104" s="12"/>
      <c r="C104" s="12"/>
      <c r="D104" s="13"/>
      <c r="E104" s="13"/>
      <c r="F104" s="13"/>
      <c r="G104" s="13"/>
      <c r="H104" s="12"/>
      <c r="I104" s="13"/>
      <c r="J104" s="12"/>
    </row>
    <row r="105" spans="1:10" x14ac:dyDescent="0.25">
      <c r="A105" s="12"/>
      <c r="B105" s="12"/>
      <c r="C105" s="12"/>
      <c r="D105" s="13"/>
      <c r="E105" s="13"/>
      <c r="F105" s="13"/>
      <c r="G105" s="13"/>
      <c r="H105" s="12"/>
      <c r="I105" s="13"/>
      <c r="J105" s="12"/>
    </row>
  </sheetData>
  <autoFilter ref="A5:J105"/>
  <mergeCells count="2">
    <mergeCell ref="A1:J2"/>
    <mergeCell ref="A4:J4"/>
  </mergeCells>
  <dataValidations count="4">
    <dataValidation type="list" allowBlank="1" sqref="C10:C105">
      <formula1>'Lists'!$A$2:$A$7</formula1>
    </dataValidation>
    <dataValidation type="list" allowBlank="1" sqref="C6:C105">
      <formula1>'Lists'!$A$2:$A$7</formula1>
    </dataValidation>
    <dataValidation type="list" allowBlank="1" sqref="H10:H105">
      <formula1>'Lists'!$B$2:$B$11</formula1>
    </dataValidation>
    <dataValidation type="list" allowBlank="1" sqref="H6:H105">
      <formula1>'Lists'!$B$2:$B$11</formula1>
    </dataValidation>
  </dataValidation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9" customWidth="1"/>
    <col min="3" max="7" width="17" customWidth="1"/>
    <col min="8" max="8" width="23" customWidth="1"/>
    <col min="9" max="9" width="20" customWidth="1"/>
    <col min="10" max="10" width="32" customWidth="1"/>
  </cols>
  <sheetData>
    <row r="1" ht="30" customHeight="1" spans="1:10" x14ac:dyDescent="0.25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/>
    <row r="4" spans="1:10" x14ac:dyDescent="0.25">
      <c r="A4" s="9" t="s">
        <v>27</v>
      </c>
      <c r="B4" s="9"/>
      <c r="C4" s="9"/>
      <c r="D4" s="9"/>
      <c r="E4" s="9"/>
      <c r="F4" s="9"/>
      <c r="G4" s="9"/>
      <c r="H4" s="9"/>
      <c r="I4" s="9"/>
      <c r="J4" s="9"/>
    </row>
    <row r="5" ht="42" customHeight="1" spans="1:10" x14ac:dyDescent="0.25">
      <c r="A5" s="10" t="s">
        <v>28</v>
      </c>
      <c r="B5" s="10" t="s">
        <v>29</v>
      </c>
      <c r="C5" s="10" t="s">
        <v>30</v>
      </c>
      <c r="D5" s="11" t="s">
        <v>31</v>
      </c>
      <c r="E5" s="11" t="s">
        <v>32</v>
      </c>
      <c r="F5" s="11" t="s">
        <v>33</v>
      </c>
      <c r="G5" s="11" t="s">
        <v>34</v>
      </c>
      <c r="H5" s="10" t="s">
        <v>35</v>
      </c>
      <c r="I5" s="11" t="s">
        <v>36</v>
      </c>
      <c r="J5" s="10" t="s">
        <v>37</v>
      </c>
    </row>
    <row r="6" spans="1:10" x14ac:dyDescent="0.25">
      <c r="A6" s="12" t="s">
        <v>38</v>
      </c>
      <c r="B6" s="12" t="s">
        <v>39</v>
      </c>
      <c r="C6" s="12" t="s">
        <v>40</v>
      </c>
      <c r="D6" s="13">
        <v>100000</v>
      </c>
      <c r="E6" s="13">
        <v>0</v>
      </c>
      <c r="F6" s="13">
        <v>80000</v>
      </c>
      <c r="G6" s="13">
        <v>0</v>
      </c>
      <c r="H6" s="12" t="s">
        <v>41</v>
      </c>
      <c r="I6" s="13">
        <v>0</v>
      </c>
      <c r="J6" s="12" t="s">
        <v>42</v>
      </c>
    </row>
    <row r="7" spans="1:10" x14ac:dyDescent="0.25">
      <c r="A7" s="12" t="s">
        <v>43</v>
      </c>
      <c r="B7" s="12" t="s">
        <v>44</v>
      </c>
      <c r="C7" s="12" t="s">
        <v>40</v>
      </c>
      <c r="D7" s="13">
        <v>50000</v>
      </c>
      <c r="E7" s="13">
        <v>0</v>
      </c>
      <c r="F7" s="13">
        <v>50000</v>
      </c>
      <c r="G7" s="13">
        <v>0</v>
      </c>
      <c r="H7" s="12" t="s">
        <v>45</v>
      </c>
      <c r="I7" s="13">
        <v>2000</v>
      </c>
      <c r="J7" s="12" t="s">
        <v>46</v>
      </c>
    </row>
    <row r="8" spans="1:10" x14ac:dyDescent="0.25">
      <c r="A8" s="12" t="s">
        <v>47</v>
      </c>
      <c r="B8" s="12" t="s">
        <v>48</v>
      </c>
      <c r="C8" s="12" t="s">
        <v>40</v>
      </c>
      <c r="D8" s="13">
        <v>30000</v>
      </c>
      <c r="E8" s="13">
        <v>0</v>
      </c>
      <c r="F8" s="13">
        <v>20000</v>
      </c>
      <c r="G8" s="13">
        <v>0</v>
      </c>
      <c r="H8" s="12" t="s">
        <v>48</v>
      </c>
      <c r="I8" s="13">
        <v>0</v>
      </c>
      <c r="J8" s="12" t="s">
        <v>49</v>
      </c>
    </row>
    <row r="9" spans="1:10" x14ac:dyDescent="0.25">
      <c r="A9" s="12" t="s">
        <v>50</v>
      </c>
      <c r="B9" s="12" t="s">
        <v>51</v>
      </c>
      <c r="C9" s="12" t="s">
        <v>40</v>
      </c>
      <c r="D9" s="13">
        <v>5000</v>
      </c>
      <c r="E9" s="13">
        <v>0</v>
      </c>
      <c r="F9" s="13">
        <v>5000</v>
      </c>
      <c r="G9" s="13">
        <v>0</v>
      </c>
      <c r="H9" s="12" t="s">
        <v>52</v>
      </c>
      <c r="I9" s="13">
        <v>0</v>
      </c>
      <c r="J9" s="12" t="s">
        <v>53</v>
      </c>
    </row>
    <row r="10" spans="1:10" x14ac:dyDescent="0.25">
      <c r="A10" s="12" t="s">
        <v>54</v>
      </c>
      <c r="B10" s="12" t="s">
        <v>55</v>
      </c>
      <c r="C10" s="12" t="s">
        <v>40</v>
      </c>
      <c r="D10" s="13">
        <v>80000</v>
      </c>
      <c r="E10" s="13">
        <v>0</v>
      </c>
      <c r="F10" s="13">
        <v>75000</v>
      </c>
      <c r="G10" s="13">
        <v>0</v>
      </c>
      <c r="H10" s="12" t="s">
        <v>56</v>
      </c>
      <c r="I10" s="13">
        <v>0</v>
      </c>
      <c r="J10" s="12" t="s">
        <v>53</v>
      </c>
    </row>
    <row r="11" spans="1:10" x14ac:dyDescent="0.25">
      <c r="A11" s="12" t="s">
        <v>57</v>
      </c>
      <c r="B11" s="12" t="s">
        <v>58</v>
      </c>
      <c r="C11" s="12" t="s">
        <v>40</v>
      </c>
      <c r="D11" s="13">
        <v>0</v>
      </c>
      <c r="E11" s="13">
        <v>25000</v>
      </c>
      <c r="F11" s="13">
        <v>0</v>
      </c>
      <c r="G11" s="13">
        <v>20000</v>
      </c>
      <c r="H11" s="12" t="s">
        <v>56</v>
      </c>
      <c r="I11" s="13">
        <v>0</v>
      </c>
      <c r="J11" s="12" t="s">
        <v>59</v>
      </c>
    </row>
    <row r="12" spans="1:10" x14ac:dyDescent="0.25">
      <c r="A12" s="12" t="s">
        <v>60</v>
      </c>
      <c r="B12" s="12" t="s">
        <v>61</v>
      </c>
      <c r="C12" s="12" t="s">
        <v>62</v>
      </c>
      <c r="D12" s="13">
        <v>0</v>
      </c>
      <c r="E12" s="13">
        <v>40000</v>
      </c>
      <c r="F12" s="13">
        <v>0</v>
      </c>
      <c r="G12" s="13">
        <v>35000</v>
      </c>
      <c r="H12" s="12" t="s">
        <v>63</v>
      </c>
      <c r="I12" s="13">
        <v>0</v>
      </c>
      <c r="J12" s="12" t="s">
        <v>53</v>
      </c>
    </row>
    <row r="13" spans="1:10" x14ac:dyDescent="0.25">
      <c r="A13" s="12" t="s">
        <v>64</v>
      </c>
      <c r="B13" s="12" t="s">
        <v>65</v>
      </c>
      <c r="C13" s="12" t="s">
        <v>62</v>
      </c>
      <c r="D13" s="13">
        <v>0</v>
      </c>
      <c r="E13" s="13">
        <v>15000</v>
      </c>
      <c r="F13" s="13">
        <v>0</v>
      </c>
      <c r="G13" s="13">
        <v>10000</v>
      </c>
      <c r="H13" s="12" t="s">
        <v>63</v>
      </c>
      <c r="I13" s="13">
        <v>0</v>
      </c>
      <c r="J13" s="12" t="s">
        <v>53</v>
      </c>
    </row>
    <row r="14" spans="1:10" x14ac:dyDescent="0.25">
      <c r="A14" s="12" t="s">
        <v>66</v>
      </c>
      <c r="B14" s="12" t="s">
        <v>67</v>
      </c>
      <c r="C14" s="12" t="s">
        <v>62</v>
      </c>
      <c r="D14" s="13">
        <v>0</v>
      </c>
      <c r="E14" s="13">
        <v>60000</v>
      </c>
      <c r="F14" s="13">
        <v>0</v>
      </c>
      <c r="G14" s="13">
        <v>55000</v>
      </c>
      <c r="H14" s="12" t="s">
        <v>68</v>
      </c>
      <c r="I14" s="13">
        <v>0</v>
      </c>
      <c r="J14" s="12" t="s">
        <v>53</v>
      </c>
    </row>
    <row r="15" spans="1:10" x14ac:dyDescent="0.25">
      <c r="A15" s="12" t="s">
        <v>69</v>
      </c>
      <c r="B15" s="12" t="s">
        <v>70</v>
      </c>
      <c r="C15" s="12" t="s">
        <v>71</v>
      </c>
      <c r="D15" s="13">
        <v>0</v>
      </c>
      <c r="E15" s="13">
        <v>110000</v>
      </c>
      <c r="F15" s="13">
        <v>0</v>
      </c>
      <c r="G15" s="13">
        <v>95000</v>
      </c>
      <c r="H15" s="12" t="s">
        <v>71</v>
      </c>
      <c r="I15" s="13">
        <v>0</v>
      </c>
      <c r="J15" s="12" t="s">
        <v>53</v>
      </c>
    </row>
    <row r="16" spans="1:10" x14ac:dyDescent="0.25">
      <c r="A16" s="12" t="s">
        <v>72</v>
      </c>
      <c r="B16" s="12" t="s">
        <v>73</v>
      </c>
      <c r="C16" s="12" t="s">
        <v>74</v>
      </c>
      <c r="D16" s="13">
        <v>0</v>
      </c>
      <c r="E16" s="13">
        <v>200000</v>
      </c>
      <c r="F16" s="13">
        <v>0</v>
      </c>
      <c r="G16" s="13">
        <v>180000</v>
      </c>
      <c r="H16" s="12" t="s">
        <v>74</v>
      </c>
      <c r="I16" s="13">
        <v>-2000</v>
      </c>
      <c r="J16" s="12" t="s">
        <v>75</v>
      </c>
    </row>
    <row r="17" spans="1:10" x14ac:dyDescent="0.25">
      <c r="A17" s="12" t="s">
        <v>76</v>
      </c>
      <c r="B17" s="12" t="s">
        <v>77</v>
      </c>
      <c r="C17" s="12" t="s">
        <v>78</v>
      </c>
      <c r="D17" s="13">
        <v>100000</v>
      </c>
      <c r="E17" s="13">
        <v>0</v>
      </c>
      <c r="F17" s="13">
        <v>90000</v>
      </c>
      <c r="G17" s="13">
        <v>0</v>
      </c>
      <c r="H17" s="12" t="s">
        <v>79</v>
      </c>
      <c r="I17" s="13">
        <v>0</v>
      </c>
      <c r="J17" s="12" t="s">
        <v>53</v>
      </c>
    </row>
    <row r="18" spans="1:10" x14ac:dyDescent="0.25">
      <c r="A18" s="12" t="s">
        <v>80</v>
      </c>
      <c r="B18" s="12" t="s">
        <v>81</v>
      </c>
      <c r="C18" s="12" t="s">
        <v>78</v>
      </c>
      <c r="D18" s="13">
        <v>60000</v>
      </c>
      <c r="E18" s="13">
        <v>0</v>
      </c>
      <c r="F18" s="13">
        <v>55000</v>
      </c>
      <c r="G18" s="13">
        <v>0</v>
      </c>
      <c r="H18" s="12" t="s">
        <v>79</v>
      </c>
      <c r="I18" s="13">
        <v>0</v>
      </c>
      <c r="J18" s="12" t="s">
        <v>53</v>
      </c>
    </row>
    <row r="19" spans="1:10" x14ac:dyDescent="0.25">
      <c r="A19" s="12" t="s">
        <v>82</v>
      </c>
      <c r="B19" s="12" t="s">
        <v>83</v>
      </c>
      <c r="C19" s="12" t="s">
        <v>78</v>
      </c>
      <c r="D19" s="13">
        <v>20000</v>
      </c>
      <c r="E19" s="13">
        <v>0</v>
      </c>
      <c r="F19" s="13">
        <v>20000</v>
      </c>
      <c r="G19" s="13">
        <v>0</v>
      </c>
      <c r="H19" s="12" t="s">
        <v>79</v>
      </c>
      <c r="I19" s="13">
        <v>0</v>
      </c>
      <c r="J19" s="12" t="s">
        <v>53</v>
      </c>
    </row>
    <row r="20" spans="1:10" x14ac:dyDescent="0.25">
      <c r="A20" s="12" t="s">
        <v>84</v>
      </c>
      <c r="B20" s="12" t="s">
        <v>85</v>
      </c>
      <c r="C20" s="12" t="s">
        <v>78</v>
      </c>
      <c r="D20" s="13">
        <v>5000</v>
      </c>
      <c r="E20" s="13">
        <v>0</v>
      </c>
      <c r="F20" s="13">
        <v>0</v>
      </c>
      <c r="G20" s="13">
        <v>0</v>
      </c>
      <c r="H20" s="12" t="s">
        <v>53</v>
      </c>
      <c r="I20" s="13">
        <v>0</v>
      </c>
      <c r="J20" s="12" t="s">
        <v>86</v>
      </c>
    </row>
    <row r="21" spans="1:10" x14ac:dyDescent="0.25">
      <c r="A21" s="12"/>
      <c r="B21" s="12"/>
      <c r="C21" s="12"/>
      <c r="D21" s="13"/>
      <c r="E21" s="13"/>
      <c r="F21" s="13"/>
      <c r="G21" s="13"/>
      <c r="H21" s="12"/>
      <c r="I21" s="13"/>
      <c r="J21" s="12"/>
    </row>
    <row r="22" spans="1:10" x14ac:dyDescent="0.25">
      <c r="A22" s="12"/>
      <c r="B22" s="12"/>
      <c r="C22" s="12"/>
      <c r="D22" s="13"/>
      <c r="E22" s="13"/>
      <c r="F22" s="13"/>
      <c r="G22" s="13"/>
      <c r="H22" s="12"/>
      <c r="I22" s="13"/>
      <c r="J22" s="12"/>
    </row>
    <row r="23" spans="1:10" x14ac:dyDescent="0.25">
      <c r="A23" s="12"/>
      <c r="B23" s="12"/>
      <c r="C23" s="12"/>
      <c r="D23" s="13"/>
      <c r="E23" s="13"/>
      <c r="F23" s="13"/>
      <c r="G23" s="13"/>
      <c r="H23" s="12"/>
      <c r="I23" s="13"/>
      <c r="J23" s="12"/>
    </row>
    <row r="24" spans="1:10" x14ac:dyDescent="0.25">
      <c r="A24" s="12"/>
      <c r="B24" s="12"/>
      <c r="C24" s="12"/>
      <c r="D24" s="13"/>
      <c r="E24" s="13"/>
      <c r="F24" s="13"/>
      <c r="G24" s="13"/>
      <c r="H24" s="12"/>
      <c r="I24" s="13"/>
      <c r="J24" s="12"/>
    </row>
    <row r="25" spans="1:10" x14ac:dyDescent="0.25">
      <c r="A25" s="12"/>
      <c r="B25" s="12"/>
      <c r="C25" s="12"/>
      <c r="D25" s="13"/>
      <c r="E25" s="13"/>
      <c r="F25" s="13"/>
      <c r="G25" s="13"/>
      <c r="H25" s="12"/>
      <c r="I25" s="13"/>
      <c r="J25" s="12"/>
    </row>
    <row r="26" spans="1:10" x14ac:dyDescent="0.25">
      <c r="A26" s="12"/>
      <c r="B26" s="12"/>
      <c r="C26" s="12"/>
      <c r="D26" s="13"/>
      <c r="E26" s="13"/>
      <c r="F26" s="13"/>
      <c r="G26" s="13"/>
      <c r="H26" s="12"/>
      <c r="I26" s="13"/>
      <c r="J26" s="12"/>
    </row>
    <row r="27" spans="1:10" x14ac:dyDescent="0.25">
      <c r="A27" s="12"/>
      <c r="B27" s="12"/>
      <c r="C27" s="12"/>
      <c r="D27" s="13"/>
      <c r="E27" s="13"/>
      <c r="F27" s="13"/>
      <c r="G27" s="13"/>
      <c r="H27" s="12"/>
      <c r="I27" s="13"/>
      <c r="J27" s="12"/>
    </row>
    <row r="28" spans="1:10" x14ac:dyDescent="0.25">
      <c r="A28" s="12"/>
      <c r="B28" s="12"/>
      <c r="C28" s="12"/>
      <c r="D28" s="13"/>
      <c r="E28" s="13"/>
      <c r="F28" s="13"/>
      <c r="G28" s="13"/>
      <c r="H28" s="12"/>
      <c r="I28" s="13"/>
      <c r="J28" s="12"/>
    </row>
    <row r="29" spans="1:10" x14ac:dyDescent="0.25">
      <c r="A29" s="12"/>
      <c r="B29" s="12"/>
      <c r="C29" s="12"/>
      <c r="D29" s="13"/>
      <c r="E29" s="13"/>
      <c r="F29" s="13"/>
      <c r="G29" s="13"/>
      <c r="H29" s="12"/>
      <c r="I29" s="13"/>
      <c r="J29" s="12"/>
    </row>
    <row r="30" spans="1:10" x14ac:dyDescent="0.25">
      <c r="A30" s="12"/>
      <c r="B30" s="12"/>
      <c r="C30" s="12"/>
      <c r="D30" s="13"/>
      <c r="E30" s="13"/>
      <c r="F30" s="13"/>
      <c r="G30" s="13"/>
      <c r="H30" s="12"/>
      <c r="I30" s="13"/>
      <c r="J30" s="12"/>
    </row>
    <row r="31" spans="1:10" x14ac:dyDescent="0.25">
      <c r="A31" s="12"/>
      <c r="B31" s="12"/>
      <c r="C31" s="12"/>
      <c r="D31" s="13"/>
      <c r="E31" s="13"/>
      <c r="F31" s="13"/>
      <c r="G31" s="13"/>
      <c r="H31" s="12"/>
      <c r="I31" s="13"/>
      <c r="J31" s="12"/>
    </row>
    <row r="32" spans="1:10" x14ac:dyDescent="0.25">
      <c r="A32" s="12"/>
      <c r="B32" s="12"/>
      <c r="C32" s="12"/>
      <c r="D32" s="13"/>
      <c r="E32" s="13"/>
      <c r="F32" s="13"/>
      <c r="G32" s="13"/>
      <c r="H32" s="12"/>
      <c r="I32" s="13"/>
      <c r="J32" s="12"/>
    </row>
    <row r="33" spans="1:10" x14ac:dyDescent="0.25">
      <c r="A33" s="12"/>
      <c r="B33" s="12"/>
      <c r="C33" s="12"/>
      <c r="D33" s="13"/>
      <c r="E33" s="13"/>
      <c r="F33" s="13"/>
      <c r="G33" s="13"/>
      <c r="H33" s="12"/>
      <c r="I33" s="13"/>
      <c r="J33" s="12"/>
    </row>
    <row r="34" spans="1:10" x14ac:dyDescent="0.25">
      <c r="A34" s="12"/>
      <c r="B34" s="12"/>
      <c r="C34" s="12"/>
      <c r="D34" s="13"/>
      <c r="E34" s="13"/>
      <c r="F34" s="13"/>
      <c r="G34" s="13"/>
      <c r="H34" s="12"/>
      <c r="I34" s="13"/>
      <c r="J34" s="12"/>
    </row>
    <row r="35" spans="1:10" x14ac:dyDescent="0.25">
      <c r="A35" s="12"/>
      <c r="B35" s="12"/>
      <c r="C35" s="12"/>
      <c r="D35" s="13"/>
      <c r="E35" s="13"/>
      <c r="F35" s="13"/>
      <c r="G35" s="13"/>
      <c r="H35" s="12"/>
      <c r="I35" s="13"/>
      <c r="J35" s="12"/>
    </row>
    <row r="36" spans="1:10" x14ac:dyDescent="0.25">
      <c r="A36" s="12"/>
      <c r="B36" s="12"/>
      <c r="C36" s="12"/>
      <c r="D36" s="13"/>
      <c r="E36" s="13"/>
      <c r="F36" s="13"/>
      <c r="G36" s="13"/>
      <c r="H36" s="12"/>
      <c r="I36" s="13"/>
      <c r="J36" s="12"/>
    </row>
    <row r="37" spans="1:10" x14ac:dyDescent="0.25">
      <c r="A37" s="12"/>
      <c r="B37" s="12"/>
      <c r="C37" s="12"/>
      <c r="D37" s="13"/>
      <c r="E37" s="13"/>
      <c r="F37" s="13"/>
      <c r="G37" s="13"/>
      <c r="H37" s="12"/>
      <c r="I37" s="13"/>
      <c r="J37" s="12"/>
    </row>
    <row r="38" spans="1:10" x14ac:dyDescent="0.25">
      <c r="A38" s="12"/>
      <c r="B38" s="12"/>
      <c r="C38" s="12"/>
      <c r="D38" s="13"/>
      <c r="E38" s="13"/>
      <c r="F38" s="13"/>
      <c r="G38" s="13"/>
      <c r="H38" s="12"/>
      <c r="I38" s="13"/>
      <c r="J38" s="12"/>
    </row>
    <row r="39" spans="1:10" x14ac:dyDescent="0.25">
      <c r="A39" s="12"/>
      <c r="B39" s="12"/>
      <c r="C39" s="12"/>
      <c r="D39" s="13"/>
      <c r="E39" s="13"/>
      <c r="F39" s="13"/>
      <c r="G39" s="13"/>
      <c r="H39" s="12"/>
      <c r="I39" s="13"/>
      <c r="J39" s="12"/>
    </row>
    <row r="40" spans="1:10" x14ac:dyDescent="0.25">
      <c r="A40" s="12"/>
      <c r="B40" s="12"/>
      <c r="C40" s="12"/>
      <c r="D40" s="13"/>
      <c r="E40" s="13"/>
      <c r="F40" s="13"/>
      <c r="G40" s="13"/>
      <c r="H40" s="12"/>
      <c r="I40" s="13"/>
      <c r="J40" s="12"/>
    </row>
    <row r="41" spans="1:10" x14ac:dyDescent="0.25">
      <c r="A41" s="12"/>
      <c r="B41" s="12"/>
      <c r="C41" s="12"/>
      <c r="D41" s="13"/>
      <c r="E41" s="13"/>
      <c r="F41" s="13"/>
      <c r="G41" s="13"/>
      <c r="H41" s="12"/>
      <c r="I41" s="13"/>
      <c r="J41" s="12"/>
    </row>
    <row r="42" spans="1:10" x14ac:dyDescent="0.25">
      <c r="A42" s="12"/>
      <c r="B42" s="12"/>
      <c r="C42" s="12"/>
      <c r="D42" s="13"/>
      <c r="E42" s="13"/>
      <c r="F42" s="13"/>
      <c r="G42" s="13"/>
      <c r="H42" s="12"/>
      <c r="I42" s="13"/>
      <c r="J42" s="12"/>
    </row>
    <row r="43" spans="1:10" x14ac:dyDescent="0.25">
      <c r="A43" s="12"/>
      <c r="B43" s="12"/>
      <c r="C43" s="12"/>
      <c r="D43" s="13"/>
      <c r="E43" s="13"/>
      <c r="F43" s="13"/>
      <c r="G43" s="13"/>
      <c r="H43" s="12"/>
      <c r="I43" s="13"/>
      <c r="J43" s="12"/>
    </row>
    <row r="44" spans="1:10" x14ac:dyDescent="0.25">
      <c r="A44" s="12"/>
      <c r="B44" s="12"/>
      <c r="C44" s="12"/>
      <c r="D44" s="13"/>
      <c r="E44" s="13"/>
      <c r="F44" s="13"/>
      <c r="G44" s="13"/>
      <c r="H44" s="12"/>
      <c r="I44" s="13"/>
      <c r="J44" s="12"/>
    </row>
    <row r="45" spans="1:10" x14ac:dyDescent="0.25">
      <c r="A45" s="12"/>
      <c r="B45" s="12"/>
      <c r="C45" s="12"/>
      <c r="D45" s="13"/>
      <c r="E45" s="13"/>
      <c r="F45" s="13"/>
      <c r="G45" s="13"/>
      <c r="H45" s="12"/>
      <c r="I45" s="13"/>
      <c r="J45" s="12"/>
    </row>
    <row r="46" spans="1:10" x14ac:dyDescent="0.25">
      <c r="A46" s="12"/>
      <c r="B46" s="12"/>
      <c r="C46" s="12"/>
      <c r="D46" s="13"/>
      <c r="E46" s="13"/>
      <c r="F46" s="13"/>
      <c r="G46" s="13"/>
      <c r="H46" s="12"/>
      <c r="I46" s="13"/>
      <c r="J46" s="12"/>
    </row>
    <row r="47" spans="1:10" x14ac:dyDescent="0.25">
      <c r="A47" s="12"/>
      <c r="B47" s="12"/>
      <c r="C47" s="12"/>
      <c r="D47" s="13"/>
      <c r="E47" s="13"/>
      <c r="F47" s="13"/>
      <c r="G47" s="13"/>
      <c r="H47" s="12"/>
      <c r="I47" s="13"/>
      <c r="J47" s="12"/>
    </row>
    <row r="48" spans="1:10" x14ac:dyDescent="0.25">
      <c r="A48" s="12"/>
      <c r="B48" s="12"/>
      <c r="C48" s="12"/>
      <c r="D48" s="13"/>
      <c r="E48" s="13"/>
      <c r="F48" s="13"/>
      <c r="G48" s="13"/>
      <c r="H48" s="12"/>
      <c r="I48" s="13"/>
      <c r="J48" s="12"/>
    </row>
    <row r="49" spans="1:10" x14ac:dyDescent="0.25">
      <c r="A49" s="12"/>
      <c r="B49" s="12"/>
      <c r="C49" s="12"/>
      <c r="D49" s="13"/>
      <c r="E49" s="13"/>
      <c r="F49" s="13"/>
      <c r="G49" s="13"/>
      <c r="H49" s="12"/>
      <c r="I49" s="13"/>
      <c r="J49" s="12"/>
    </row>
    <row r="50" spans="1:10" x14ac:dyDescent="0.25">
      <c r="A50" s="12"/>
      <c r="B50" s="12"/>
      <c r="C50" s="12"/>
      <c r="D50" s="13"/>
      <c r="E50" s="13"/>
      <c r="F50" s="13"/>
      <c r="G50" s="13"/>
      <c r="H50" s="12"/>
      <c r="I50" s="13"/>
      <c r="J50" s="12"/>
    </row>
    <row r="51" spans="1:10" x14ac:dyDescent="0.25">
      <c r="A51" s="12"/>
      <c r="B51" s="12"/>
      <c r="C51" s="12"/>
      <c r="D51" s="13"/>
      <c r="E51" s="13"/>
      <c r="F51" s="13"/>
      <c r="G51" s="13"/>
      <c r="H51" s="12"/>
      <c r="I51" s="13"/>
      <c r="J51" s="12"/>
    </row>
    <row r="52" spans="1:10" x14ac:dyDescent="0.25">
      <c r="A52" s="12"/>
      <c r="B52" s="12"/>
      <c r="C52" s="12"/>
      <c r="D52" s="13"/>
      <c r="E52" s="13"/>
      <c r="F52" s="13"/>
      <c r="G52" s="13"/>
      <c r="H52" s="12"/>
      <c r="I52" s="13"/>
      <c r="J52" s="12"/>
    </row>
    <row r="53" spans="1:10" x14ac:dyDescent="0.25">
      <c r="A53" s="12"/>
      <c r="B53" s="12"/>
      <c r="C53" s="12"/>
      <c r="D53" s="13"/>
      <c r="E53" s="13"/>
      <c r="F53" s="13"/>
      <c r="G53" s="13"/>
      <c r="H53" s="12"/>
      <c r="I53" s="13"/>
      <c r="J53" s="12"/>
    </row>
    <row r="54" spans="1:10" x14ac:dyDescent="0.25">
      <c r="A54" s="12"/>
      <c r="B54" s="12"/>
      <c r="C54" s="12"/>
      <c r="D54" s="13"/>
      <c r="E54" s="13"/>
      <c r="F54" s="13"/>
      <c r="G54" s="13"/>
      <c r="H54" s="12"/>
      <c r="I54" s="13"/>
      <c r="J54" s="12"/>
    </row>
    <row r="55" spans="1:10" x14ac:dyDescent="0.25">
      <c r="A55" s="12"/>
      <c r="B55" s="12"/>
      <c r="C55" s="12"/>
      <c r="D55" s="13"/>
      <c r="E55" s="13"/>
      <c r="F55" s="13"/>
      <c r="G55" s="13"/>
      <c r="H55" s="12"/>
      <c r="I55" s="13"/>
      <c r="J55" s="12"/>
    </row>
    <row r="56" spans="1:10" x14ac:dyDescent="0.25">
      <c r="A56" s="12"/>
      <c r="B56" s="12"/>
      <c r="C56" s="12"/>
      <c r="D56" s="13"/>
      <c r="E56" s="13"/>
      <c r="F56" s="13"/>
      <c r="G56" s="13"/>
      <c r="H56" s="12"/>
      <c r="I56" s="13"/>
      <c r="J56" s="12"/>
    </row>
    <row r="57" spans="1:10" x14ac:dyDescent="0.25">
      <c r="A57" s="12"/>
      <c r="B57" s="12"/>
      <c r="C57" s="12"/>
      <c r="D57" s="13"/>
      <c r="E57" s="13"/>
      <c r="F57" s="13"/>
      <c r="G57" s="13"/>
      <c r="H57" s="12"/>
      <c r="I57" s="13"/>
      <c r="J57" s="12"/>
    </row>
    <row r="58" spans="1:10" x14ac:dyDescent="0.25">
      <c r="A58" s="12"/>
      <c r="B58" s="12"/>
      <c r="C58" s="12"/>
      <c r="D58" s="13"/>
      <c r="E58" s="13"/>
      <c r="F58" s="13"/>
      <c r="G58" s="13"/>
      <c r="H58" s="12"/>
      <c r="I58" s="13"/>
      <c r="J58" s="12"/>
    </row>
    <row r="59" spans="1:10" x14ac:dyDescent="0.25">
      <c r="A59" s="12"/>
      <c r="B59" s="12"/>
      <c r="C59" s="12"/>
      <c r="D59" s="13"/>
      <c r="E59" s="13"/>
      <c r="F59" s="13"/>
      <c r="G59" s="13"/>
      <c r="H59" s="12"/>
      <c r="I59" s="13"/>
      <c r="J59" s="12"/>
    </row>
    <row r="60" spans="1:10" x14ac:dyDescent="0.25">
      <c r="A60" s="12"/>
      <c r="B60" s="12"/>
      <c r="C60" s="12"/>
      <c r="D60" s="13"/>
      <c r="E60" s="13"/>
      <c r="F60" s="13"/>
      <c r="G60" s="13"/>
      <c r="H60" s="12"/>
      <c r="I60" s="13"/>
      <c r="J60" s="12"/>
    </row>
    <row r="61" spans="1:10" x14ac:dyDescent="0.25">
      <c r="A61" s="12"/>
      <c r="B61" s="12"/>
      <c r="C61" s="12"/>
      <c r="D61" s="13"/>
      <c r="E61" s="13"/>
      <c r="F61" s="13"/>
      <c r="G61" s="13"/>
      <c r="H61" s="12"/>
      <c r="I61" s="13"/>
      <c r="J61" s="12"/>
    </row>
    <row r="62" spans="1:10" x14ac:dyDescent="0.25">
      <c r="A62" s="12"/>
      <c r="B62" s="12"/>
      <c r="C62" s="12"/>
      <c r="D62" s="13"/>
      <c r="E62" s="13"/>
      <c r="F62" s="13"/>
      <c r="G62" s="13"/>
      <c r="H62" s="12"/>
      <c r="I62" s="13"/>
      <c r="J62" s="12"/>
    </row>
    <row r="63" spans="1:10" x14ac:dyDescent="0.25">
      <c r="A63" s="12"/>
      <c r="B63" s="12"/>
      <c r="C63" s="12"/>
      <c r="D63" s="13"/>
      <c r="E63" s="13"/>
      <c r="F63" s="13"/>
      <c r="G63" s="13"/>
      <c r="H63" s="12"/>
      <c r="I63" s="13"/>
      <c r="J63" s="12"/>
    </row>
    <row r="64" spans="1:10" x14ac:dyDescent="0.25">
      <c r="A64" s="12"/>
      <c r="B64" s="12"/>
      <c r="C64" s="12"/>
      <c r="D64" s="13"/>
      <c r="E64" s="13"/>
      <c r="F64" s="13"/>
      <c r="G64" s="13"/>
      <c r="H64" s="12"/>
      <c r="I64" s="13"/>
      <c r="J64" s="12"/>
    </row>
    <row r="65" spans="1:10" x14ac:dyDescent="0.25">
      <c r="A65" s="12"/>
      <c r="B65" s="12"/>
      <c r="C65" s="12"/>
      <c r="D65" s="13"/>
      <c r="E65" s="13"/>
      <c r="F65" s="13"/>
      <c r="G65" s="13"/>
      <c r="H65" s="12"/>
      <c r="I65" s="13"/>
      <c r="J65" s="12"/>
    </row>
    <row r="66" spans="1:10" x14ac:dyDescent="0.25">
      <c r="A66" s="12"/>
      <c r="B66" s="12"/>
      <c r="C66" s="12"/>
      <c r="D66" s="13"/>
      <c r="E66" s="13"/>
      <c r="F66" s="13"/>
      <c r="G66" s="13"/>
      <c r="H66" s="12"/>
      <c r="I66" s="13"/>
      <c r="J66" s="12"/>
    </row>
    <row r="67" spans="1:10" x14ac:dyDescent="0.25">
      <c r="A67" s="12"/>
      <c r="B67" s="12"/>
      <c r="C67" s="12"/>
      <c r="D67" s="13"/>
      <c r="E67" s="13"/>
      <c r="F67" s="13"/>
      <c r="G67" s="13"/>
      <c r="H67" s="12"/>
      <c r="I67" s="13"/>
      <c r="J67" s="12"/>
    </row>
    <row r="68" spans="1:10" x14ac:dyDescent="0.25">
      <c r="A68" s="12"/>
      <c r="B68" s="12"/>
      <c r="C68" s="12"/>
      <c r="D68" s="13"/>
      <c r="E68" s="13"/>
      <c r="F68" s="13"/>
      <c r="G68" s="13"/>
      <c r="H68" s="12"/>
      <c r="I68" s="13"/>
      <c r="J68" s="12"/>
    </row>
    <row r="69" spans="1:10" x14ac:dyDescent="0.25">
      <c r="A69" s="12"/>
      <c r="B69" s="12"/>
      <c r="C69" s="12"/>
      <c r="D69" s="13"/>
      <c r="E69" s="13"/>
      <c r="F69" s="13"/>
      <c r="G69" s="13"/>
      <c r="H69" s="12"/>
      <c r="I69" s="13"/>
      <c r="J69" s="12"/>
    </row>
    <row r="70" spans="1:10" x14ac:dyDescent="0.25">
      <c r="A70" s="12"/>
      <c r="B70" s="12"/>
      <c r="C70" s="12"/>
      <c r="D70" s="13"/>
      <c r="E70" s="13"/>
      <c r="F70" s="13"/>
      <c r="G70" s="13"/>
      <c r="H70" s="12"/>
      <c r="I70" s="13"/>
      <c r="J70" s="12"/>
    </row>
    <row r="71" spans="1:10" x14ac:dyDescent="0.25">
      <c r="A71" s="12"/>
      <c r="B71" s="12"/>
      <c r="C71" s="12"/>
      <c r="D71" s="13"/>
      <c r="E71" s="13"/>
      <c r="F71" s="13"/>
      <c r="G71" s="13"/>
      <c r="H71" s="12"/>
      <c r="I71" s="13"/>
      <c r="J71" s="12"/>
    </row>
    <row r="72" spans="1:10" x14ac:dyDescent="0.25">
      <c r="A72" s="12"/>
      <c r="B72" s="12"/>
      <c r="C72" s="12"/>
      <c r="D72" s="13"/>
      <c r="E72" s="13"/>
      <c r="F72" s="13"/>
      <c r="G72" s="13"/>
      <c r="H72" s="12"/>
      <c r="I72" s="13"/>
      <c r="J72" s="12"/>
    </row>
    <row r="73" spans="1:10" x14ac:dyDescent="0.25">
      <c r="A73" s="12"/>
      <c r="B73" s="12"/>
      <c r="C73" s="12"/>
      <c r="D73" s="13"/>
      <c r="E73" s="13"/>
      <c r="F73" s="13"/>
      <c r="G73" s="13"/>
      <c r="H73" s="12"/>
      <c r="I73" s="13"/>
      <c r="J73" s="12"/>
    </row>
    <row r="74" spans="1:10" x14ac:dyDescent="0.25">
      <c r="A74" s="12"/>
      <c r="B74" s="12"/>
      <c r="C74" s="12"/>
      <c r="D74" s="13"/>
      <c r="E74" s="13"/>
      <c r="F74" s="13"/>
      <c r="G74" s="13"/>
      <c r="H74" s="12"/>
      <c r="I74" s="13"/>
      <c r="J74" s="12"/>
    </row>
    <row r="75" spans="1:10" x14ac:dyDescent="0.25">
      <c r="A75" s="12"/>
      <c r="B75" s="12"/>
      <c r="C75" s="12"/>
      <c r="D75" s="13"/>
      <c r="E75" s="13"/>
      <c r="F75" s="13"/>
      <c r="G75" s="13"/>
      <c r="H75" s="12"/>
      <c r="I75" s="13"/>
      <c r="J75" s="12"/>
    </row>
    <row r="76" spans="1:10" x14ac:dyDescent="0.25">
      <c r="A76" s="12"/>
      <c r="B76" s="12"/>
      <c r="C76" s="12"/>
      <c r="D76" s="13"/>
      <c r="E76" s="13"/>
      <c r="F76" s="13"/>
      <c r="G76" s="13"/>
      <c r="H76" s="12"/>
      <c r="I76" s="13"/>
      <c r="J76" s="12"/>
    </row>
    <row r="77" spans="1:10" x14ac:dyDescent="0.25">
      <c r="A77" s="12"/>
      <c r="B77" s="12"/>
      <c r="C77" s="12"/>
      <c r="D77" s="13"/>
      <c r="E77" s="13"/>
      <c r="F77" s="13"/>
      <c r="G77" s="13"/>
      <c r="H77" s="12"/>
      <c r="I77" s="13"/>
      <c r="J77" s="12"/>
    </row>
    <row r="78" spans="1:10" x14ac:dyDescent="0.25">
      <c r="A78" s="12"/>
      <c r="B78" s="12"/>
      <c r="C78" s="12"/>
      <c r="D78" s="13"/>
      <c r="E78" s="13"/>
      <c r="F78" s="13"/>
      <c r="G78" s="13"/>
      <c r="H78" s="12"/>
      <c r="I78" s="13"/>
      <c r="J78" s="12"/>
    </row>
    <row r="79" spans="1:10" x14ac:dyDescent="0.25">
      <c r="A79" s="12"/>
      <c r="B79" s="12"/>
      <c r="C79" s="12"/>
      <c r="D79" s="13"/>
      <c r="E79" s="13"/>
      <c r="F79" s="13"/>
      <c r="G79" s="13"/>
      <c r="H79" s="12"/>
      <c r="I79" s="13"/>
      <c r="J79" s="12"/>
    </row>
    <row r="80" spans="1:10" x14ac:dyDescent="0.25">
      <c r="A80" s="12"/>
      <c r="B80" s="12"/>
      <c r="C80" s="12"/>
      <c r="D80" s="13"/>
      <c r="E80" s="13"/>
      <c r="F80" s="13"/>
      <c r="G80" s="13"/>
      <c r="H80" s="12"/>
      <c r="I80" s="13"/>
      <c r="J80" s="12"/>
    </row>
    <row r="81" spans="1:10" x14ac:dyDescent="0.25">
      <c r="A81" s="12"/>
      <c r="B81" s="12"/>
      <c r="C81" s="12"/>
      <c r="D81" s="13"/>
      <c r="E81" s="13"/>
      <c r="F81" s="13"/>
      <c r="G81" s="13"/>
      <c r="H81" s="12"/>
      <c r="I81" s="13"/>
      <c r="J81" s="12"/>
    </row>
    <row r="82" spans="1:10" x14ac:dyDescent="0.25">
      <c r="A82" s="12"/>
      <c r="B82" s="12"/>
      <c r="C82" s="12"/>
      <c r="D82" s="13"/>
      <c r="E82" s="13"/>
      <c r="F82" s="13"/>
      <c r="G82" s="13"/>
      <c r="H82" s="12"/>
      <c r="I82" s="13"/>
      <c r="J82" s="12"/>
    </row>
    <row r="83" spans="1:10" x14ac:dyDescent="0.25">
      <c r="A83" s="12"/>
      <c r="B83" s="12"/>
      <c r="C83" s="12"/>
      <c r="D83" s="13"/>
      <c r="E83" s="13"/>
      <c r="F83" s="13"/>
      <c r="G83" s="13"/>
      <c r="H83" s="12"/>
      <c r="I83" s="13"/>
      <c r="J83" s="12"/>
    </row>
    <row r="84" spans="1:10" x14ac:dyDescent="0.25">
      <c r="A84" s="12"/>
      <c r="B84" s="12"/>
      <c r="C84" s="12"/>
      <c r="D84" s="13"/>
      <c r="E84" s="13"/>
      <c r="F84" s="13"/>
      <c r="G84" s="13"/>
      <c r="H84" s="12"/>
      <c r="I84" s="13"/>
      <c r="J84" s="12"/>
    </row>
    <row r="85" spans="1:10" x14ac:dyDescent="0.25">
      <c r="A85" s="12"/>
      <c r="B85" s="12"/>
      <c r="C85" s="12"/>
      <c r="D85" s="13"/>
      <c r="E85" s="13"/>
      <c r="F85" s="13"/>
      <c r="G85" s="13"/>
      <c r="H85" s="12"/>
      <c r="I85" s="13"/>
      <c r="J85" s="12"/>
    </row>
    <row r="86" spans="1:10" x14ac:dyDescent="0.25">
      <c r="A86" s="12"/>
      <c r="B86" s="12"/>
      <c r="C86" s="12"/>
      <c r="D86" s="13"/>
      <c r="E86" s="13"/>
      <c r="F86" s="13"/>
      <c r="G86" s="13"/>
      <c r="H86" s="12"/>
      <c r="I86" s="13"/>
      <c r="J86" s="12"/>
    </row>
    <row r="87" spans="1:10" x14ac:dyDescent="0.25">
      <c r="A87" s="12"/>
      <c r="B87" s="12"/>
      <c r="C87" s="12"/>
      <c r="D87" s="13"/>
      <c r="E87" s="13"/>
      <c r="F87" s="13"/>
      <c r="G87" s="13"/>
      <c r="H87" s="12"/>
      <c r="I87" s="13"/>
      <c r="J87" s="12"/>
    </row>
    <row r="88" spans="1:10" x14ac:dyDescent="0.25">
      <c r="A88" s="12"/>
      <c r="B88" s="12"/>
      <c r="C88" s="12"/>
      <c r="D88" s="13"/>
      <c r="E88" s="13"/>
      <c r="F88" s="13"/>
      <c r="G88" s="13"/>
      <c r="H88" s="12"/>
      <c r="I88" s="13"/>
      <c r="J88" s="12"/>
    </row>
    <row r="89" spans="1:10" x14ac:dyDescent="0.25">
      <c r="A89" s="12"/>
      <c r="B89" s="12"/>
      <c r="C89" s="12"/>
      <c r="D89" s="13"/>
      <c r="E89" s="13"/>
      <c r="F89" s="13"/>
      <c r="G89" s="13"/>
      <c r="H89" s="12"/>
      <c r="I89" s="13"/>
      <c r="J89" s="12"/>
    </row>
    <row r="90" spans="1:10" x14ac:dyDescent="0.25">
      <c r="A90" s="12"/>
      <c r="B90" s="12"/>
      <c r="C90" s="12"/>
      <c r="D90" s="13"/>
      <c r="E90" s="13"/>
      <c r="F90" s="13"/>
      <c r="G90" s="13"/>
      <c r="H90" s="12"/>
      <c r="I90" s="13"/>
      <c r="J90" s="12"/>
    </row>
    <row r="91" spans="1:10" x14ac:dyDescent="0.25">
      <c r="A91" s="12"/>
      <c r="B91" s="12"/>
      <c r="C91" s="12"/>
      <c r="D91" s="13"/>
      <c r="E91" s="13"/>
      <c r="F91" s="13"/>
      <c r="G91" s="13"/>
      <c r="H91" s="12"/>
      <c r="I91" s="13"/>
      <c r="J91" s="12"/>
    </row>
    <row r="92" spans="1:10" x14ac:dyDescent="0.25">
      <c r="A92" s="12"/>
      <c r="B92" s="12"/>
      <c r="C92" s="12"/>
      <c r="D92" s="13"/>
      <c r="E92" s="13"/>
      <c r="F92" s="13"/>
      <c r="G92" s="13"/>
      <c r="H92" s="12"/>
      <c r="I92" s="13"/>
      <c r="J92" s="12"/>
    </row>
    <row r="93" spans="1:10" x14ac:dyDescent="0.25">
      <c r="A93" s="12"/>
      <c r="B93" s="12"/>
      <c r="C93" s="12"/>
      <c r="D93" s="13"/>
      <c r="E93" s="13"/>
      <c r="F93" s="13"/>
      <c r="G93" s="13"/>
      <c r="H93" s="12"/>
      <c r="I93" s="13"/>
      <c r="J93" s="12"/>
    </row>
    <row r="94" spans="1:10" x14ac:dyDescent="0.25">
      <c r="A94" s="12"/>
      <c r="B94" s="12"/>
      <c r="C94" s="12"/>
      <c r="D94" s="13"/>
      <c r="E94" s="13"/>
      <c r="F94" s="13"/>
      <c r="G94" s="13"/>
      <c r="H94" s="12"/>
      <c r="I94" s="13"/>
      <c r="J94" s="12"/>
    </row>
    <row r="95" spans="1:10" x14ac:dyDescent="0.25">
      <c r="A95" s="12"/>
      <c r="B95" s="12"/>
      <c r="C95" s="12"/>
      <c r="D95" s="13"/>
      <c r="E95" s="13"/>
      <c r="F95" s="13"/>
      <c r="G95" s="13"/>
      <c r="H95" s="12"/>
      <c r="I95" s="13"/>
      <c r="J95" s="12"/>
    </row>
    <row r="96" spans="1:10" x14ac:dyDescent="0.25">
      <c r="A96" s="12"/>
      <c r="B96" s="12"/>
      <c r="C96" s="12"/>
      <c r="D96" s="13"/>
      <c r="E96" s="13"/>
      <c r="F96" s="13"/>
      <c r="G96" s="13"/>
      <c r="H96" s="12"/>
      <c r="I96" s="13"/>
      <c r="J96" s="12"/>
    </row>
    <row r="97" spans="1:10" x14ac:dyDescent="0.25">
      <c r="A97" s="12"/>
      <c r="B97" s="12"/>
      <c r="C97" s="12"/>
      <c r="D97" s="13"/>
      <c r="E97" s="13"/>
      <c r="F97" s="13"/>
      <c r="G97" s="13"/>
      <c r="H97" s="12"/>
      <c r="I97" s="13"/>
      <c r="J97" s="12"/>
    </row>
    <row r="98" spans="1:10" x14ac:dyDescent="0.25">
      <c r="A98" s="12"/>
      <c r="B98" s="12"/>
      <c r="C98" s="12"/>
      <c r="D98" s="13"/>
      <c r="E98" s="13"/>
      <c r="F98" s="13"/>
      <c r="G98" s="13"/>
      <c r="H98" s="12"/>
      <c r="I98" s="13"/>
      <c r="J98" s="12"/>
    </row>
    <row r="99" spans="1:10" x14ac:dyDescent="0.25">
      <c r="A99" s="12"/>
      <c r="B99" s="12"/>
      <c r="C99" s="12"/>
      <c r="D99" s="13"/>
      <c r="E99" s="13"/>
      <c r="F99" s="13"/>
      <c r="G99" s="13"/>
      <c r="H99" s="12"/>
      <c r="I99" s="13"/>
      <c r="J99" s="12"/>
    </row>
    <row r="100" spans="1:10" x14ac:dyDescent="0.25">
      <c r="A100" s="12"/>
      <c r="B100" s="12"/>
      <c r="C100" s="12"/>
      <c r="D100" s="13"/>
      <c r="E100" s="13"/>
      <c r="F100" s="13"/>
      <c r="G100" s="13"/>
      <c r="H100" s="12"/>
      <c r="I100" s="13"/>
      <c r="J100" s="12"/>
    </row>
    <row r="101" spans="1:10" x14ac:dyDescent="0.25">
      <c r="A101" s="12"/>
      <c r="B101" s="12"/>
      <c r="C101" s="12"/>
      <c r="D101" s="13"/>
      <c r="E101" s="13"/>
      <c r="F101" s="13"/>
      <c r="G101" s="13"/>
      <c r="H101" s="12"/>
      <c r="I101" s="13"/>
      <c r="J101" s="12"/>
    </row>
    <row r="102" spans="1:10" x14ac:dyDescent="0.25">
      <c r="A102" s="12"/>
      <c r="B102" s="12"/>
      <c r="C102" s="12"/>
      <c r="D102" s="13"/>
      <c r="E102" s="13"/>
      <c r="F102" s="13"/>
      <c r="G102" s="13"/>
      <c r="H102" s="12"/>
      <c r="I102" s="13"/>
      <c r="J102" s="12"/>
    </row>
    <row r="103" spans="1:10" x14ac:dyDescent="0.25">
      <c r="A103" s="12"/>
      <c r="B103" s="12"/>
      <c r="C103" s="12"/>
      <c r="D103" s="13"/>
      <c r="E103" s="13"/>
      <c r="F103" s="13"/>
      <c r="G103" s="13"/>
      <c r="H103" s="12"/>
      <c r="I103" s="13"/>
      <c r="J103" s="12"/>
    </row>
    <row r="104" spans="1:10" x14ac:dyDescent="0.25">
      <c r="A104" s="12"/>
      <c r="B104" s="12"/>
      <c r="C104" s="12"/>
      <c r="D104" s="13"/>
      <c r="E104" s="13"/>
      <c r="F104" s="13"/>
      <c r="G104" s="13"/>
      <c r="H104" s="12"/>
      <c r="I104" s="13"/>
      <c r="J104" s="12"/>
    </row>
    <row r="105" spans="1:10" x14ac:dyDescent="0.25">
      <c r="A105" s="12"/>
      <c r="B105" s="12"/>
      <c r="C105" s="12"/>
      <c r="D105" s="13"/>
      <c r="E105" s="13"/>
      <c r="F105" s="13"/>
      <c r="G105" s="13"/>
      <c r="H105" s="12"/>
      <c r="I105" s="13"/>
      <c r="J105" s="12"/>
    </row>
  </sheetData>
  <autoFilter ref="A5:J105"/>
  <mergeCells count="2">
    <mergeCell ref="A1:J2"/>
    <mergeCell ref="A4:J4"/>
  </mergeCells>
  <dataValidations count="4">
    <dataValidation type="list" allowBlank="1" sqref="C10:C105">
      <formula1>'Lists'!$A$2:$A$7</formula1>
    </dataValidation>
    <dataValidation type="list" allowBlank="1" sqref="C6:C105">
      <formula1>'Lists'!$A$2:$A$7</formula1>
    </dataValidation>
    <dataValidation type="list" allowBlank="1" sqref="H10:H105">
      <formula1>'Lists'!$B$2:$B$11</formula1>
    </dataValidation>
    <dataValidation type="list" allowBlank="1" sqref="H6:H105">
      <formula1>'Lists'!$B$2:$B$11</formula1>
    </dataValidation>
  </dataValidation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7" customWidth="1"/>
    <col min="3" max="10" width="16" customWidth="1"/>
    <col min="11" max="11" width="14" customWidth="1"/>
    <col min="12" max="12" width="22" customWidth="1"/>
    <col min="13" max="13" width="19" customWidth="1"/>
    <col min="14" max="14" width="18" customWidth="1"/>
    <col min="15" max="16" width="15" customWidth="1"/>
    <col min="17" max="17" width="17" customWidth="1"/>
    <col min="18" max="18" width="15" customWidth="1"/>
    <col min="19" max="19" width="31" customWidth="1"/>
  </cols>
  <sheetData>
    <row r="1" ht="30" customHeight="1" spans="1:19" x14ac:dyDescent="0.25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/>
    <row r="4" spans="1:19" x14ac:dyDescent="0.25">
      <c r="A4" s="9" t="s">
        <v>89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ht="44" customHeight="1" spans="1:19" x14ac:dyDescent="0.25">
      <c r="A5" s="10" t="s">
        <v>28</v>
      </c>
      <c r="B5" s="10" t="s">
        <v>29</v>
      </c>
      <c r="C5" s="10" t="s">
        <v>30</v>
      </c>
      <c r="D5" s="11" t="s">
        <v>31</v>
      </c>
      <c r="E5" s="11" t="s">
        <v>32</v>
      </c>
      <c r="F5" s="11" t="s">
        <v>33</v>
      </c>
      <c r="G5" s="11" t="s">
        <v>34</v>
      </c>
      <c r="H5" s="11" t="s">
        <v>90</v>
      </c>
      <c r="I5" s="11" t="s">
        <v>91</v>
      </c>
      <c r="J5" s="11" t="s">
        <v>92</v>
      </c>
      <c r="K5" s="10" t="s">
        <v>93</v>
      </c>
      <c r="L5" s="10" t="s">
        <v>35</v>
      </c>
      <c r="M5" s="11" t="s">
        <v>36</v>
      </c>
      <c r="N5" s="11" t="s">
        <v>94</v>
      </c>
      <c r="O5" s="10" t="s">
        <v>95</v>
      </c>
      <c r="P5" s="10" t="s">
        <v>96</v>
      </c>
      <c r="Q5" s="10" t="s">
        <v>97</v>
      </c>
      <c r="R5" s="10" t="s">
        <v>98</v>
      </c>
      <c r="S5" s="10" t="s">
        <v>37</v>
      </c>
    </row>
    <row r="6" spans="1:19" x14ac:dyDescent="0.25">
      <c r="A6" s="14" t="str">
        <f>IF('Start Here'!$B$8="Paste Import",'Paste Import'!A6,'Manual Input'!A6)</f>
        <v>1000</v>
      </c>
      <c r="B6" s="14" t="str">
        <f>IF('Start Here'!$B$8="Paste Import",'Paste Import'!B6,'Manual Input'!B6)</f>
        <v>Operating Cash</v>
      </c>
      <c r="C6" s="14" t="str">
        <f>IF('Start Here'!$B$8="Paste Import",'Paste Import'!C6,'Manual Input'!C6)</f>
        <v>Asset</v>
      </c>
      <c r="D6" s="15">
        <f>IF('Start Here'!$B$8="Paste Import",'Paste Import'!D6,'Manual Input'!D6)</f>
        <v>100000</v>
      </c>
      <c r="E6" s="15">
        <f>IF('Start Here'!$B$8="Paste Import",'Paste Import'!E6,'Manual Input'!E6)</f>
        <v>0</v>
      </c>
      <c r="F6" s="15">
        <f>IF('Start Here'!$B$8="Paste Import",'Paste Import'!F6,'Manual Input'!F6)</f>
        <v>80000</v>
      </c>
      <c r="G6" s="15">
        <f>IF('Start Here'!$B$8="Paste Import",'Paste Import'!G6,'Manual Input'!G6)</f>
        <v>0</v>
      </c>
      <c r="H6" s="15">
        <f>IF(B6="","",D6-E6)</f>
        <v>100000</v>
      </c>
      <c r="I6" s="15">
        <f>IF(B6="","",F6-G6)</f>
        <v>80000</v>
      </c>
      <c r="J6" s="15">
        <f>IF(B6="","",H6-I6)</f>
        <v>20000</v>
      </c>
      <c r="K6" s="16">
        <f>IF(B6="","",IF(I6=0,IF(H6=0,"","New"),J6/ABS(I6)))</f>
        <v>0.25</v>
      </c>
      <c r="L6" s="14" t="str">
        <f>IF('Start Here'!$B$8="Paste Import",'Paste Import'!H6,'Manual Input'!H6)</f>
        <v>Cash</v>
      </c>
      <c r="M6" s="15">
        <f>IF('Start Here'!$B$8="Paste Import",'Paste Import'!I6,'Manual Input'!I6)</f>
        <v>0</v>
      </c>
      <c r="N6" s="15">
        <f>IF(B6="","",H6+M6)</f>
        <v>100000</v>
      </c>
      <c r="O6" s="14" t="str">
        <f>IF(B6="","",IF(OR(C6="",L6=""),"Unmapped","OK"))</f>
        <v>OK</v>
      </c>
      <c r="P6" s="14" t="str">
        <f>IF(B6="","",IF(OR(AND(OR(C6="Asset",C6="Expense"),H6&lt;0),AND(OR(C6="Liability",C6="Equity",C6="Revenue"),H6&gt;0)),"Unusual","OK"))</f>
        <v>OK</v>
      </c>
      <c r="Q6" s="14" t="str">
        <f>IF(B6="","",IF(AND(ABS(J6)&gt;='Start Here'!$B$10,IFERROR(ABS(K6)&gt;='Start Here'!$B$11,TRUE)),"Review","OK"))</f>
        <v>Review</v>
      </c>
      <c r="R6" s="14" t="str">
        <f>IF(B6="","",IF(OR(O6&lt;&gt;"OK",P6&lt;&gt;"OK",Q6&lt;&gt;"OK"),"Review","Complete"))</f>
        <v>Review</v>
      </c>
      <c r="S6" s="14" t="str">
        <f>IF('Start Here'!$B$8="Paste Import",'Paste Import'!J6,'Manual Input'!J6)</f>
        <v>Material cash movement</v>
      </c>
    </row>
    <row r="7" spans="1:19" x14ac:dyDescent="0.25">
      <c r="A7" s="14" t="str">
        <f>IF('Start Here'!$B$8="Paste Import",'Paste Import'!A7,'Manual Input'!A7)</f>
        <v>1100</v>
      </c>
      <c r="B7" s="14" t="str">
        <f>IF('Start Here'!$B$8="Paste Import",'Paste Import'!B7,'Manual Input'!B7)</f>
        <v>Accounts Receivable</v>
      </c>
      <c r="C7" s="14" t="str">
        <f>IF('Start Here'!$B$8="Paste Import",'Paste Import'!C7,'Manual Input'!C7)</f>
        <v>Asset</v>
      </c>
      <c r="D7" s="15">
        <f>IF('Start Here'!$B$8="Paste Import",'Paste Import'!D7,'Manual Input'!D7)</f>
        <v>50000</v>
      </c>
      <c r="E7" s="15">
        <f>IF('Start Here'!$B$8="Paste Import",'Paste Import'!E7,'Manual Input'!E7)</f>
        <v>0</v>
      </c>
      <c r="F7" s="15">
        <f>IF('Start Here'!$B$8="Paste Import",'Paste Import'!F7,'Manual Input'!F7)</f>
        <v>50000</v>
      </c>
      <c r="G7" s="15">
        <f>IF('Start Here'!$B$8="Paste Import",'Paste Import'!G7,'Manual Input'!G7)</f>
        <v>0</v>
      </c>
      <c r="H7" s="15">
        <f>IF(B7="","",D7-E7)</f>
        <v>50000</v>
      </c>
      <c r="I7" s="15">
        <f>IF(B7="","",F7-G7)</f>
        <v>50000</v>
      </c>
      <c r="J7" s="15">
        <f>IF(B7="","",H7-I7)</f>
        <v>0</v>
      </c>
      <c r="K7" s="16">
        <f>IF(B7="","",IF(I7=0,IF(H7=0,"","New"),J7/ABS(I7)))</f>
        <v>0</v>
      </c>
      <c r="L7" s="14" t="str">
        <f>IF('Start Here'!$B$8="Paste Import",'Paste Import'!H7,'Manual Input'!H7)</f>
        <v>Receivables</v>
      </c>
      <c r="M7" s="15">
        <f>IF('Start Here'!$B$8="Paste Import",'Paste Import'!I7,'Manual Input'!I7)</f>
        <v>2000</v>
      </c>
      <c r="N7" s="15">
        <f>IF(B7="","",H7+M7)</f>
        <v>52000</v>
      </c>
      <c r="O7" s="14" t="str">
        <f>IF(B7="","",IF(OR(C7="",L7=""),"Unmapped","OK"))</f>
        <v>OK</v>
      </c>
      <c r="P7" s="14" t="str">
        <f>IF(B7="","",IF(OR(AND(OR(C7="Asset",C7="Expense"),H7&lt;0),AND(OR(C7="Liability",C7="Equity",C7="Revenue"),H7&gt;0)),"Unusual","OK"))</f>
        <v>OK</v>
      </c>
      <c r="Q7" s="14" t="str">
        <f>IF(B7="","",IF(AND(ABS(J7)&gt;='Start Here'!$B$10,IFERROR(ABS(K7)&gt;='Start Here'!$B$11,TRUE)),"Review","OK"))</f>
        <v>OK</v>
      </c>
      <c r="R7" s="14" t="str">
        <f>IF(B7="","",IF(OR(O7&lt;&gt;"OK",P7&lt;&gt;"OK",Q7&lt;&gt;"OK"),"Review","Complete"))</f>
        <v>Complete</v>
      </c>
      <c r="S7" s="14" t="str">
        <f>IF('Start Here'!$B$8="Paste Import",'Paste Import'!J7,'Manual Input'!J7)</f>
        <v>Proposed debit adjustment</v>
      </c>
    </row>
    <row r="8" spans="1:19" x14ac:dyDescent="0.25">
      <c r="A8" s="14" t="str">
        <f>IF('Start Here'!$B$8="Paste Import",'Paste Import'!A8,'Manual Input'!A8)</f>
        <v>1200</v>
      </c>
      <c r="B8" s="14" t="str">
        <f>IF('Start Here'!$B$8="Paste Import",'Paste Import'!B8,'Manual Input'!B8)</f>
        <v>Inventory</v>
      </c>
      <c r="C8" s="14" t="str">
        <f>IF('Start Here'!$B$8="Paste Import",'Paste Import'!C8,'Manual Input'!C8)</f>
        <v>Asset</v>
      </c>
      <c r="D8" s="15">
        <f>IF('Start Here'!$B$8="Paste Import",'Paste Import'!D8,'Manual Input'!D8)</f>
        <v>30000</v>
      </c>
      <c r="E8" s="15">
        <f>IF('Start Here'!$B$8="Paste Import",'Paste Import'!E8,'Manual Input'!E8)</f>
        <v>0</v>
      </c>
      <c r="F8" s="15">
        <f>IF('Start Here'!$B$8="Paste Import",'Paste Import'!F8,'Manual Input'!F8)</f>
        <v>20000</v>
      </c>
      <c r="G8" s="15">
        <f>IF('Start Here'!$B$8="Paste Import",'Paste Import'!G8,'Manual Input'!G8)</f>
        <v>0</v>
      </c>
      <c r="H8" s="15">
        <f>IF(B8="","",D8-E8)</f>
        <v>30000</v>
      </c>
      <c r="I8" s="15">
        <f>IF(B8="","",F8-G8)</f>
        <v>20000</v>
      </c>
      <c r="J8" s="15">
        <f>IF(B8="","",H8-I8)</f>
        <v>10000</v>
      </c>
      <c r="K8" s="16">
        <f>IF(B8="","",IF(I8=0,IF(H8=0,"","New"),J8/ABS(I8)))</f>
        <v>0.5</v>
      </c>
      <c r="L8" s="14" t="str">
        <f>IF('Start Here'!$B$8="Paste Import",'Paste Import'!H8,'Manual Input'!H8)</f>
        <v>Inventory</v>
      </c>
      <c r="M8" s="15">
        <f>IF('Start Here'!$B$8="Paste Import",'Paste Import'!I8,'Manual Input'!I8)</f>
        <v>0</v>
      </c>
      <c r="N8" s="15">
        <f>IF(B8="","",H8+M8)</f>
        <v>30000</v>
      </c>
      <c r="O8" s="14" t="str">
        <f>IF(B8="","",IF(OR(C8="",L8=""),"Unmapped","OK"))</f>
        <v>OK</v>
      </c>
      <c r="P8" s="14" t="str">
        <f>IF(B8="","",IF(OR(AND(OR(C8="Asset",C8="Expense"),H8&lt;0),AND(OR(C8="Liability",C8="Equity",C8="Revenue"),H8&gt;0)),"Unusual","OK"))</f>
        <v>OK</v>
      </c>
      <c r="Q8" s="14" t="str">
        <f>IF(B8="","",IF(AND(ABS(J8)&gt;='Start Here'!$B$10,IFERROR(ABS(K8)&gt;='Start Here'!$B$11,TRUE)),"Review","OK"))</f>
        <v>Review</v>
      </c>
      <c r="R8" s="14" t="str">
        <f>IF(B8="","",IF(OR(O8&lt;&gt;"OK",P8&lt;&gt;"OK",Q8&lt;&gt;"OK"),"Review","Complete"))</f>
        <v>Review</v>
      </c>
      <c r="S8" s="14" t="str">
        <f>IF('Start Here'!$B$8="Paste Import",'Paste Import'!J8,'Manual Input'!J8)</f>
        <v>Growth requires review</v>
      </c>
    </row>
    <row r="9" spans="1:19" x14ac:dyDescent="0.25">
      <c r="A9" s="14" t="str">
        <f>IF('Start Here'!$B$8="Paste Import",'Paste Import'!A9,'Manual Input'!A9)</f>
        <v>1300</v>
      </c>
      <c r="B9" s="14" t="str">
        <f>IF('Start Here'!$B$8="Paste Import",'Paste Import'!B9,'Manual Input'!B9)</f>
        <v>Prepaid Expenses</v>
      </c>
      <c r="C9" s="14" t="str">
        <f>IF('Start Here'!$B$8="Paste Import",'Paste Import'!C9,'Manual Input'!C9)</f>
        <v>Asset</v>
      </c>
      <c r="D9" s="15">
        <f>IF('Start Here'!$B$8="Paste Import",'Paste Import'!D9,'Manual Input'!D9)</f>
        <v>5000</v>
      </c>
      <c r="E9" s="15">
        <f>IF('Start Here'!$B$8="Paste Import",'Paste Import'!E9,'Manual Input'!E9)</f>
        <v>0</v>
      </c>
      <c r="F9" s="15">
        <f>IF('Start Here'!$B$8="Paste Import",'Paste Import'!F9,'Manual Input'!F9)</f>
        <v>5000</v>
      </c>
      <c r="G9" s="15">
        <f>IF('Start Here'!$B$8="Paste Import",'Paste Import'!G9,'Manual Input'!G9)</f>
        <v>0</v>
      </c>
      <c r="H9" s="15">
        <f>IF(B9="","",D9-E9)</f>
        <v>5000</v>
      </c>
      <c r="I9" s="15">
        <f>IF(B9="","",F9-G9)</f>
        <v>5000</v>
      </c>
      <c r="J9" s="15">
        <f>IF(B9="","",H9-I9)</f>
        <v>0</v>
      </c>
      <c r="K9" s="16">
        <f>IF(B9="","",IF(I9=0,IF(H9=0,"","New"),J9/ABS(I9)))</f>
        <v>0</v>
      </c>
      <c r="L9" s="14" t="str">
        <f>IF('Start Here'!$B$8="Paste Import",'Paste Import'!H9,'Manual Input'!H9)</f>
        <v>Other</v>
      </c>
      <c r="M9" s="15">
        <f>IF('Start Here'!$B$8="Paste Import",'Paste Import'!I9,'Manual Input'!I9)</f>
        <v>0</v>
      </c>
      <c r="N9" s="15">
        <f>IF(B9="","",H9+M9)</f>
        <v>5000</v>
      </c>
      <c r="O9" s="14" t="str">
        <f>IF(B9="","",IF(OR(C9="",L9=""),"Unmapped","OK"))</f>
        <v>OK</v>
      </c>
      <c r="P9" s="14" t="str">
        <f>IF(B9="","",IF(OR(AND(OR(C9="Asset",C9="Expense"),H9&lt;0),AND(OR(C9="Liability",C9="Equity",C9="Revenue"),H9&gt;0)),"Unusual","OK"))</f>
        <v>OK</v>
      </c>
      <c r="Q9" s="14" t="str">
        <f>IF(B9="","",IF(AND(ABS(J9)&gt;='Start Here'!$B$10,IFERROR(ABS(K9)&gt;='Start Here'!$B$11,TRUE)),"Review","OK"))</f>
        <v>OK</v>
      </c>
      <c r="R9" s="14" t="str">
        <f>IF(B9="","",IF(OR(O9&lt;&gt;"OK",P9&lt;&gt;"OK",Q9&lt;&gt;"OK"),"Review","Complete"))</f>
        <v>Complete</v>
      </c>
      <c r="S9" s="14" t="str">
        <f>IF('Start Here'!$B$8="Paste Import",'Paste Import'!J9,'Manual Input'!J9)</f>
        <v/>
      </c>
    </row>
    <row r="10" spans="1:19" x14ac:dyDescent="0.25">
      <c r="A10" s="14" t="str">
        <f>IF('Start Here'!$B$8="Paste Import",'Paste Import'!A10,'Manual Input'!A10)</f>
        <v>1500</v>
      </c>
      <c r="B10" s="14" t="str">
        <f>IF('Start Here'!$B$8="Paste Import",'Paste Import'!B10,'Manual Input'!B10)</f>
        <v>Property and Equipment</v>
      </c>
      <c r="C10" s="14" t="str">
        <f>IF('Start Here'!$B$8="Paste Import",'Paste Import'!C10,'Manual Input'!C10)</f>
        <v>Asset</v>
      </c>
      <c r="D10" s="15">
        <f>IF('Start Here'!$B$8="Paste Import",'Paste Import'!D10,'Manual Input'!D10)</f>
        <v>80000</v>
      </c>
      <c r="E10" s="15">
        <f>IF('Start Here'!$B$8="Paste Import",'Paste Import'!E10,'Manual Input'!E10)</f>
        <v>0</v>
      </c>
      <c r="F10" s="15">
        <f>IF('Start Here'!$B$8="Paste Import",'Paste Import'!F10,'Manual Input'!F10)</f>
        <v>75000</v>
      </c>
      <c r="G10" s="15">
        <f>IF('Start Here'!$B$8="Paste Import",'Paste Import'!G10,'Manual Input'!G10)</f>
        <v>0</v>
      </c>
      <c r="H10" s="15">
        <f>IF(B10="","",D10-E10)</f>
        <v>80000</v>
      </c>
      <c r="I10" s="15">
        <f>IF(B10="","",F10-G10)</f>
        <v>75000</v>
      </c>
      <c r="J10" s="15">
        <f>IF(B10="","",H10-I10)</f>
        <v>5000</v>
      </c>
      <c r="K10" s="16">
        <f>IF(B10="","",IF(I10=0,IF(H10=0,"","New"),J10/ABS(I10)))</f>
        <v>0.06666666666666667</v>
      </c>
      <c r="L10" s="14" t="str">
        <f>IF('Start Here'!$B$8="Paste Import",'Paste Import'!H10,'Manual Input'!H10)</f>
        <v>Fixed Assets</v>
      </c>
      <c r="M10" s="15">
        <f>IF('Start Here'!$B$8="Paste Import",'Paste Import'!I10,'Manual Input'!I10)</f>
        <v>0</v>
      </c>
      <c r="N10" s="15">
        <f>IF(B10="","",H10+M10)</f>
        <v>80000</v>
      </c>
      <c r="O10" s="14" t="str">
        <f>IF(B10="","",IF(OR(C10="",L10=""),"Unmapped","OK"))</f>
        <v>OK</v>
      </c>
      <c r="P10" s="14" t="str">
        <f>IF(B10="","",IF(OR(AND(OR(C10="Asset",C10="Expense"),H10&lt;0),AND(OR(C10="Liability",C10="Equity",C10="Revenue"),H10&gt;0)),"Unusual","OK"))</f>
        <v>OK</v>
      </c>
      <c r="Q10" s="14" t="str">
        <f>IF(B10="","",IF(AND(ABS(J10)&gt;='Start Here'!$B$10,IFERROR(ABS(K10)&gt;='Start Here'!$B$11,TRUE)),"Review","OK"))</f>
        <v>OK</v>
      </c>
      <c r="R10" s="14" t="str">
        <f>IF(B10="","",IF(OR(O10&lt;&gt;"OK",P10&lt;&gt;"OK",Q10&lt;&gt;"OK"),"Review","Complete"))</f>
        <v>Complete</v>
      </c>
      <c r="S10" s="14" t="str">
        <f>IF('Start Here'!$B$8="Paste Import",'Paste Import'!J10,'Manual Input'!J10)</f>
        <v/>
      </c>
    </row>
    <row r="11" spans="1:19" x14ac:dyDescent="0.25">
      <c r="A11" s="14" t="str">
        <f>IF('Start Here'!$B$8="Paste Import",'Paste Import'!A11,'Manual Input'!A11)</f>
        <v>1590</v>
      </c>
      <c r="B11" s="14" t="str">
        <f>IF('Start Here'!$B$8="Paste Import",'Paste Import'!B11,'Manual Input'!B11)</f>
        <v>Accumulated Depreciation</v>
      </c>
      <c r="C11" s="14" t="str">
        <f>IF('Start Here'!$B$8="Paste Import",'Paste Import'!C11,'Manual Input'!C11)</f>
        <v>Asset</v>
      </c>
      <c r="D11" s="15">
        <f>IF('Start Here'!$B$8="Paste Import",'Paste Import'!D11,'Manual Input'!D11)</f>
        <v>0</v>
      </c>
      <c r="E11" s="15">
        <f>IF('Start Here'!$B$8="Paste Import",'Paste Import'!E11,'Manual Input'!E11)</f>
        <v>25000</v>
      </c>
      <c r="F11" s="15">
        <f>IF('Start Here'!$B$8="Paste Import",'Paste Import'!F11,'Manual Input'!F11)</f>
        <v>0</v>
      </c>
      <c r="G11" s="15">
        <f>IF('Start Here'!$B$8="Paste Import",'Paste Import'!G11,'Manual Input'!G11)</f>
        <v>20000</v>
      </c>
      <c r="H11" s="15">
        <f>IF(B11="","",D11-E11)</f>
        <v>-25000</v>
      </c>
      <c r="I11" s="15">
        <f>IF(B11="","",F11-G11)</f>
        <v>-20000</v>
      </c>
      <c r="J11" s="15">
        <f>IF(B11="","",H11-I11)</f>
        <v>-5000</v>
      </c>
      <c r="K11" s="16">
        <f>IF(B11="","",IF(I11=0,IF(H11=0,"","New"),J11/ABS(I11)))</f>
        <v>-0.25</v>
      </c>
      <c r="L11" s="14" t="str">
        <f>IF('Start Here'!$B$8="Paste Import",'Paste Import'!H11,'Manual Input'!H11)</f>
        <v>Fixed Assets</v>
      </c>
      <c r="M11" s="15">
        <f>IF('Start Here'!$B$8="Paste Import",'Paste Import'!I11,'Manual Input'!I11)</f>
        <v>0</v>
      </c>
      <c r="N11" s="15">
        <f>IF(B11="","",H11+M11)</f>
        <v>-25000</v>
      </c>
      <c r="O11" s="14" t="str">
        <f>IF(B11="","",IF(OR(C11="",L11=""),"Unmapped","OK"))</f>
        <v>OK</v>
      </c>
      <c r="P11" s="14" t="str">
        <f>IF(B11="","",IF(OR(AND(OR(C11="Asset",C11="Expense"),H11&lt;0),AND(OR(C11="Liability",C11="Equity",C11="Revenue"),H11&gt;0)),"Unusual","OK"))</f>
        <v>Unusual</v>
      </c>
      <c r="Q11" s="14" t="str">
        <f>IF(B11="","",IF(AND(ABS(J11)&gt;='Start Here'!$B$10,IFERROR(ABS(K11)&gt;='Start Here'!$B$11,TRUE)),"Review","OK"))</f>
        <v>Review</v>
      </c>
      <c r="R11" s="14" t="str">
        <f>IF(B11="","",IF(OR(O11&lt;&gt;"OK",P11&lt;&gt;"OK",Q11&lt;&gt;"OK"),"Review","Complete"))</f>
        <v>Review</v>
      </c>
      <c r="S11" s="14" t="str">
        <f>IF('Start Here'!$B$8="Paste Import",'Paste Import'!J11,'Manual Input'!J11)</f>
        <v>Credit balance flagged by sign rule</v>
      </c>
    </row>
    <row r="12" spans="1:19" x14ac:dyDescent="0.25">
      <c r="A12" s="14" t="str">
        <f>IF('Start Here'!$B$8="Paste Import",'Paste Import'!A12,'Manual Input'!A12)</f>
        <v>2000</v>
      </c>
      <c r="B12" s="14" t="str">
        <f>IF('Start Here'!$B$8="Paste Import",'Paste Import'!B12,'Manual Input'!B12)</f>
        <v>Accounts Payable</v>
      </c>
      <c r="C12" s="14" t="str">
        <f>IF('Start Here'!$B$8="Paste Import",'Paste Import'!C12,'Manual Input'!C12)</f>
        <v>Liability</v>
      </c>
      <c r="D12" s="15">
        <f>IF('Start Here'!$B$8="Paste Import",'Paste Import'!D12,'Manual Input'!D12)</f>
        <v>0</v>
      </c>
      <c r="E12" s="15">
        <f>IF('Start Here'!$B$8="Paste Import",'Paste Import'!E12,'Manual Input'!E12)</f>
        <v>40000</v>
      </c>
      <c r="F12" s="15">
        <f>IF('Start Here'!$B$8="Paste Import",'Paste Import'!F12,'Manual Input'!F12)</f>
        <v>0</v>
      </c>
      <c r="G12" s="15">
        <f>IF('Start Here'!$B$8="Paste Import",'Paste Import'!G12,'Manual Input'!G12)</f>
        <v>35000</v>
      </c>
      <c r="H12" s="15">
        <f>IF(B12="","",D12-E12)</f>
        <v>-40000</v>
      </c>
      <c r="I12" s="15">
        <f>IF(B12="","",F12-G12)</f>
        <v>-35000</v>
      </c>
      <c r="J12" s="15">
        <f>IF(B12="","",H12-I12)</f>
        <v>-5000</v>
      </c>
      <c r="K12" s="16">
        <f>IF(B12="","",IF(I12=0,IF(H12=0,"","New"),J12/ABS(I12)))</f>
        <v>-0.14285714285714285</v>
      </c>
      <c r="L12" s="14" t="str">
        <f>IF('Start Here'!$B$8="Paste Import",'Paste Import'!H12,'Manual Input'!H12)</f>
        <v>Payables</v>
      </c>
      <c r="M12" s="15">
        <f>IF('Start Here'!$B$8="Paste Import",'Paste Import'!I12,'Manual Input'!I12)</f>
        <v>0</v>
      </c>
      <c r="N12" s="15">
        <f>IF(B12="","",H12+M12)</f>
        <v>-40000</v>
      </c>
      <c r="O12" s="14" t="str">
        <f>IF(B12="","",IF(OR(C12="",L12=""),"Unmapped","OK"))</f>
        <v>OK</v>
      </c>
      <c r="P12" s="14" t="str">
        <f>IF(B12="","",IF(OR(AND(OR(C12="Asset",C12="Expense"),H12&lt;0),AND(OR(C12="Liability",C12="Equity",C12="Revenue"),H12&gt;0)),"Unusual","OK"))</f>
        <v>OK</v>
      </c>
      <c r="Q12" s="14" t="str">
        <f>IF(B12="","",IF(AND(ABS(J12)&gt;='Start Here'!$B$10,IFERROR(ABS(K12)&gt;='Start Here'!$B$11,TRUE)),"Review","OK"))</f>
        <v>Review</v>
      </c>
      <c r="R12" s="14" t="str">
        <f>IF(B12="","",IF(OR(O12&lt;&gt;"OK",P12&lt;&gt;"OK",Q12&lt;&gt;"OK"),"Review","Complete"))</f>
        <v>Review</v>
      </c>
      <c r="S12" s="14" t="str">
        <f>IF('Start Here'!$B$8="Paste Import",'Paste Import'!J12,'Manual Input'!J12)</f>
        <v/>
      </c>
    </row>
    <row r="13" spans="1:19" x14ac:dyDescent="0.25">
      <c r="A13" s="14" t="str">
        <f>IF('Start Here'!$B$8="Paste Import",'Paste Import'!A13,'Manual Input'!A13)</f>
        <v>2100</v>
      </c>
      <c r="B13" s="14" t="str">
        <f>IF('Start Here'!$B$8="Paste Import",'Paste Import'!B13,'Manual Input'!B13)</f>
        <v>Accrued Expenses</v>
      </c>
      <c r="C13" s="14" t="str">
        <f>IF('Start Here'!$B$8="Paste Import",'Paste Import'!C13,'Manual Input'!C13)</f>
        <v>Liability</v>
      </c>
      <c r="D13" s="15">
        <f>IF('Start Here'!$B$8="Paste Import",'Paste Import'!D13,'Manual Input'!D13)</f>
        <v>0</v>
      </c>
      <c r="E13" s="15">
        <f>IF('Start Here'!$B$8="Paste Import",'Paste Import'!E13,'Manual Input'!E13)</f>
        <v>15000</v>
      </c>
      <c r="F13" s="15">
        <f>IF('Start Here'!$B$8="Paste Import",'Paste Import'!F13,'Manual Input'!F13)</f>
        <v>0</v>
      </c>
      <c r="G13" s="15">
        <f>IF('Start Here'!$B$8="Paste Import",'Paste Import'!G13,'Manual Input'!G13)</f>
        <v>10000</v>
      </c>
      <c r="H13" s="15">
        <f>IF(B13="","",D13-E13)</f>
        <v>-15000</v>
      </c>
      <c r="I13" s="15">
        <f>IF(B13="","",F13-G13)</f>
        <v>-10000</v>
      </c>
      <c r="J13" s="15">
        <f>IF(B13="","",H13-I13)</f>
        <v>-5000</v>
      </c>
      <c r="K13" s="16">
        <f>IF(B13="","",IF(I13=0,IF(H13=0,"","New"),J13/ABS(I13)))</f>
        <v>-0.5</v>
      </c>
      <c r="L13" s="14" t="str">
        <f>IF('Start Here'!$B$8="Paste Import",'Paste Import'!H13,'Manual Input'!H13)</f>
        <v>Payables</v>
      </c>
      <c r="M13" s="15">
        <f>IF('Start Here'!$B$8="Paste Import",'Paste Import'!I13,'Manual Input'!I13)</f>
        <v>0</v>
      </c>
      <c r="N13" s="15">
        <f>IF(B13="","",H13+M13)</f>
        <v>-15000</v>
      </c>
      <c r="O13" s="14" t="str">
        <f>IF(B13="","",IF(OR(C13="",L13=""),"Unmapped","OK"))</f>
        <v>OK</v>
      </c>
      <c r="P13" s="14" t="str">
        <f>IF(B13="","",IF(OR(AND(OR(C13="Asset",C13="Expense"),H13&lt;0),AND(OR(C13="Liability",C13="Equity",C13="Revenue"),H13&gt;0)),"Unusual","OK"))</f>
        <v>OK</v>
      </c>
      <c r="Q13" s="14" t="str">
        <f>IF(B13="","",IF(AND(ABS(J13)&gt;='Start Here'!$B$10,IFERROR(ABS(K13)&gt;='Start Here'!$B$11,TRUE)),"Review","OK"))</f>
        <v>Review</v>
      </c>
      <c r="R13" s="14" t="str">
        <f>IF(B13="","",IF(OR(O13&lt;&gt;"OK",P13&lt;&gt;"OK",Q13&lt;&gt;"OK"),"Review","Complete"))</f>
        <v>Review</v>
      </c>
      <c r="S13" s="14" t="str">
        <f>IF('Start Here'!$B$8="Paste Import",'Paste Import'!J13,'Manual Input'!J13)</f>
        <v/>
      </c>
    </row>
    <row r="14" spans="1:19" x14ac:dyDescent="0.25">
      <c r="A14" s="14" t="str">
        <f>IF('Start Here'!$B$8="Paste Import",'Paste Import'!A14,'Manual Input'!A14)</f>
        <v>2500</v>
      </c>
      <c r="B14" s="14" t="str">
        <f>IF('Start Here'!$B$8="Paste Import",'Paste Import'!B14,'Manual Input'!B14)</f>
        <v>Term Debt</v>
      </c>
      <c r="C14" s="14" t="str">
        <f>IF('Start Here'!$B$8="Paste Import",'Paste Import'!C14,'Manual Input'!C14)</f>
        <v>Liability</v>
      </c>
      <c r="D14" s="15">
        <f>IF('Start Here'!$B$8="Paste Import",'Paste Import'!D14,'Manual Input'!D14)</f>
        <v>0</v>
      </c>
      <c r="E14" s="15">
        <f>IF('Start Here'!$B$8="Paste Import",'Paste Import'!E14,'Manual Input'!E14)</f>
        <v>60000</v>
      </c>
      <c r="F14" s="15">
        <f>IF('Start Here'!$B$8="Paste Import",'Paste Import'!F14,'Manual Input'!F14)</f>
        <v>0</v>
      </c>
      <c r="G14" s="15">
        <f>IF('Start Here'!$B$8="Paste Import",'Paste Import'!G14,'Manual Input'!G14)</f>
        <v>55000</v>
      </c>
      <c r="H14" s="15">
        <f>IF(B14="","",D14-E14)</f>
        <v>-60000</v>
      </c>
      <c r="I14" s="15">
        <f>IF(B14="","",F14-G14)</f>
        <v>-55000</v>
      </c>
      <c r="J14" s="15">
        <f>IF(B14="","",H14-I14)</f>
        <v>-5000</v>
      </c>
      <c r="K14" s="16">
        <f>IF(B14="","",IF(I14=0,IF(H14=0,"","New"),J14/ABS(I14)))</f>
        <v>-0.09090909090909091</v>
      </c>
      <c r="L14" s="14" t="str">
        <f>IF('Start Here'!$B$8="Paste Import",'Paste Import'!H14,'Manual Input'!H14)</f>
        <v>Debt</v>
      </c>
      <c r="M14" s="15">
        <f>IF('Start Here'!$B$8="Paste Import",'Paste Import'!I14,'Manual Input'!I14)</f>
        <v>0</v>
      </c>
      <c r="N14" s="15">
        <f>IF(B14="","",H14+M14)</f>
        <v>-60000</v>
      </c>
      <c r="O14" s="14" t="str">
        <f>IF(B14="","",IF(OR(C14="",L14=""),"Unmapped","OK"))</f>
        <v>OK</v>
      </c>
      <c r="P14" s="14" t="str">
        <f>IF(B14="","",IF(OR(AND(OR(C14="Asset",C14="Expense"),H14&lt;0),AND(OR(C14="Liability",C14="Equity",C14="Revenue"),H14&gt;0)),"Unusual","OK"))</f>
        <v>OK</v>
      </c>
      <c r="Q14" s="14" t="str">
        <f>IF(B14="","",IF(AND(ABS(J14)&gt;='Start Here'!$B$10,IFERROR(ABS(K14)&gt;='Start Here'!$B$11,TRUE)),"Review","OK"))</f>
        <v>OK</v>
      </c>
      <c r="R14" s="14" t="str">
        <f>IF(B14="","",IF(OR(O14&lt;&gt;"OK",P14&lt;&gt;"OK",Q14&lt;&gt;"OK"),"Review","Complete"))</f>
        <v>Complete</v>
      </c>
      <c r="S14" s="14" t="str">
        <f>IF('Start Here'!$B$8="Paste Import",'Paste Import'!J14,'Manual Input'!J14)</f>
        <v/>
      </c>
    </row>
    <row r="15" spans="1:19" x14ac:dyDescent="0.25">
      <c r="A15" s="14" t="str">
        <f>IF('Start Here'!$B$8="Paste Import",'Paste Import'!A15,'Manual Input'!A15)</f>
        <v>3000</v>
      </c>
      <c r="B15" s="14" t="str">
        <f>IF('Start Here'!$B$8="Paste Import",'Paste Import'!B15,'Manual Input'!B15)</f>
        <v>Members' Equity</v>
      </c>
      <c r="C15" s="14" t="str">
        <f>IF('Start Here'!$B$8="Paste Import",'Paste Import'!C15,'Manual Input'!C15)</f>
        <v>Equity</v>
      </c>
      <c r="D15" s="15">
        <f>IF('Start Here'!$B$8="Paste Import",'Paste Import'!D15,'Manual Input'!D15)</f>
        <v>0</v>
      </c>
      <c r="E15" s="15">
        <f>IF('Start Here'!$B$8="Paste Import",'Paste Import'!E15,'Manual Input'!E15)</f>
        <v>110000</v>
      </c>
      <c r="F15" s="15">
        <f>IF('Start Here'!$B$8="Paste Import",'Paste Import'!F15,'Manual Input'!F15)</f>
        <v>0</v>
      </c>
      <c r="G15" s="15">
        <f>IF('Start Here'!$B$8="Paste Import",'Paste Import'!G15,'Manual Input'!G15)</f>
        <v>95000</v>
      </c>
      <c r="H15" s="15">
        <f>IF(B15="","",D15-E15)</f>
        <v>-110000</v>
      </c>
      <c r="I15" s="15">
        <f>IF(B15="","",F15-G15)</f>
        <v>-95000</v>
      </c>
      <c r="J15" s="15">
        <f>IF(B15="","",H15-I15)</f>
        <v>-15000</v>
      </c>
      <c r="K15" s="16">
        <f>IF(B15="","",IF(I15=0,IF(H15=0,"","New"),J15/ABS(I15)))</f>
        <v>-0.15789473684210525</v>
      </c>
      <c r="L15" s="14" t="str">
        <f>IF('Start Here'!$B$8="Paste Import",'Paste Import'!H15,'Manual Input'!H15)</f>
        <v>Equity</v>
      </c>
      <c r="M15" s="15">
        <f>IF('Start Here'!$B$8="Paste Import",'Paste Import'!I15,'Manual Input'!I15)</f>
        <v>0</v>
      </c>
      <c r="N15" s="15">
        <f>IF(B15="","",H15+M15)</f>
        <v>-110000</v>
      </c>
      <c r="O15" s="14" t="str">
        <f>IF(B15="","",IF(OR(C15="",L15=""),"Unmapped","OK"))</f>
        <v>OK</v>
      </c>
      <c r="P15" s="14" t="str">
        <f>IF(B15="","",IF(OR(AND(OR(C15="Asset",C15="Expense"),H15&lt;0),AND(OR(C15="Liability",C15="Equity",C15="Revenue"),H15&gt;0)),"Unusual","OK"))</f>
        <v>OK</v>
      </c>
      <c r="Q15" s="14" t="str">
        <f>IF(B15="","",IF(AND(ABS(J15)&gt;='Start Here'!$B$10,IFERROR(ABS(K15)&gt;='Start Here'!$B$11,TRUE)),"Review","OK"))</f>
        <v>Review</v>
      </c>
      <c r="R15" s="14" t="str">
        <f>IF(B15="","",IF(OR(O15&lt;&gt;"OK",P15&lt;&gt;"OK",Q15&lt;&gt;"OK"),"Review","Complete"))</f>
        <v>Review</v>
      </c>
      <c r="S15" s="14" t="str">
        <f>IF('Start Here'!$B$8="Paste Import",'Paste Import'!J15,'Manual Input'!J15)</f>
        <v/>
      </c>
    </row>
    <row r="16" spans="1:19" x14ac:dyDescent="0.25">
      <c r="A16" s="14" t="str">
        <f>IF('Start Here'!$B$8="Paste Import",'Paste Import'!A16,'Manual Input'!A16)</f>
        <v>4000</v>
      </c>
      <c r="B16" s="14" t="str">
        <f>IF('Start Here'!$B$8="Paste Import",'Paste Import'!B16,'Manual Input'!B16)</f>
        <v>Product Revenue</v>
      </c>
      <c r="C16" s="14" t="str">
        <f>IF('Start Here'!$B$8="Paste Import",'Paste Import'!C16,'Manual Input'!C16)</f>
        <v>Revenue</v>
      </c>
      <c r="D16" s="15">
        <f>IF('Start Here'!$B$8="Paste Import",'Paste Import'!D16,'Manual Input'!D16)</f>
        <v>0</v>
      </c>
      <c r="E16" s="15">
        <f>IF('Start Here'!$B$8="Paste Import",'Paste Import'!E16,'Manual Input'!E16)</f>
        <v>200000</v>
      </c>
      <c r="F16" s="15">
        <f>IF('Start Here'!$B$8="Paste Import",'Paste Import'!F16,'Manual Input'!F16)</f>
        <v>0</v>
      </c>
      <c r="G16" s="15">
        <f>IF('Start Here'!$B$8="Paste Import",'Paste Import'!G16,'Manual Input'!G16)</f>
        <v>180000</v>
      </c>
      <c r="H16" s="15">
        <f>IF(B16="","",D16-E16)</f>
        <v>-200000</v>
      </c>
      <c r="I16" s="15">
        <f>IF(B16="","",F16-G16)</f>
        <v>-180000</v>
      </c>
      <c r="J16" s="15">
        <f>IF(B16="","",H16-I16)</f>
        <v>-20000</v>
      </c>
      <c r="K16" s="16">
        <f>IF(B16="","",IF(I16=0,IF(H16=0,"","New"),J16/ABS(I16)))</f>
        <v>-0.1111111111111111</v>
      </c>
      <c r="L16" s="14" t="str">
        <f>IF('Start Here'!$B$8="Paste Import",'Paste Import'!H16,'Manual Input'!H16)</f>
        <v>Revenue</v>
      </c>
      <c r="M16" s="15">
        <f>IF('Start Here'!$B$8="Paste Import",'Paste Import'!I16,'Manual Input'!I16)</f>
        <v>-2000</v>
      </c>
      <c r="N16" s="15">
        <f>IF(B16="","",H16+M16)</f>
        <v>-202000</v>
      </c>
      <c r="O16" s="14" t="str">
        <f>IF(B16="","",IF(OR(C16="",L16=""),"Unmapped","OK"))</f>
        <v>OK</v>
      </c>
      <c r="P16" s="14" t="str">
        <f>IF(B16="","",IF(OR(AND(OR(C16="Asset",C16="Expense"),H16&lt;0),AND(OR(C16="Liability",C16="Equity",C16="Revenue"),H16&gt;0)),"Unusual","OK"))</f>
        <v>OK</v>
      </c>
      <c r="Q16" s="14" t="str">
        <f>IF(B16="","",IF(AND(ABS(J16)&gt;='Start Here'!$B$10,IFERROR(ABS(K16)&gt;='Start Here'!$B$11,TRUE)),"Review","OK"))</f>
        <v>Review</v>
      </c>
      <c r="R16" s="14" t="str">
        <f>IF(B16="","",IF(OR(O16&lt;&gt;"OK",P16&lt;&gt;"OK",Q16&lt;&gt;"OK"),"Review","Complete"))</f>
        <v>Review</v>
      </c>
      <c r="S16" s="14" t="str">
        <f>IF('Start Here'!$B$8="Paste Import",'Paste Import'!J16,'Manual Input'!J16)</f>
        <v>Proposed credit adjustment</v>
      </c>
    </row>
    <row r="17" spans="1:19" x14ac:dyDescent="0.25">
      <c r="A17" s="14" t="str">
        <f>IF('Start Here'!$B$8="Paste Import",'Paste Import'!A17,'Manual Input'!A17)</f>
        <v>5000</v>
      </c>
      <c r="B17" s="14" t="str">
        <f>IF('Start Here'!$B$8="Paste Import",'Paste Import'!B17,'Manual Input'!B17)</f>
        <v>Cost of Goods Sold</v>
      </c>
      <c r="C17" s="14" t="str">
        <f>IF('Start Here'!$B$8="Paste Import",'Paste Import'!C17,'Manual Input'!C17)</f>
        <v>Expense</v>
      </c>
      <c r="D17" s="15">
        <f>IF('Start Here'!$B$8="Paste Import",'Paste Import'!D17,'Manual Input'!D17)</f>
        <v>100000</v>
      </c>
      <c r="E17" s="15">
        <f>IF('Start Here'!$B$8="Paste Import",'Paste Import'!E17,'Manual Input'!E17)</f>
        <v>0</v>
      </c>
      <c r="F17" s="15">
        <f>IF('Start Here'!$B$8="Paste Import",'Paste Import'!F17,'Manual Input'!F17)</f>
        <v>90000</v>
      </c>
      <c r="G17" s="15">
        <f>IF('Start Here'!$B$8="Paste Import",'Paste Import'!G17,'Manual Input'!G17)</f>
        <v>0</v>
      </c>
      <c r="H17" s="15">
        <f>IF(B17="","",D17-E17)</f>
        <v>100000</v>
      </c>
      <c r="I17" s="15">
        <f>IF(B17="","",F17-G17)</f>
        <v>90000</v>
      </c>
      <c r="J17" s="15">
        <f>IF(B17="","",H17-I17)</f>
        <v>10000</v>
      </c>
      <c r="K17" s="16">
        <f>IF(B17="","",IF(I17=0,IF(H17=0,"","New"),J17/ABS(I17)))</f>
        <v>0.1111111111111111</v>
      </c>
      <c r="L17" s="14" t="str">
        <f>IF('Start Here'!$B$8="Paste Import",'Paste Import'!H17,'Manual Input'!H17)</f>
        <v>Operating Expenses</v>
      </c>
      <c r="M17" s="15">
        <f>IF('Start Here'!$B$8="Paste Import",'Paste Import'!I17,'Manual Input'!I17)</f>
        <v>0</v>
      </c>
      <c r="N17" s="15">
        <f>IF(B17="","",H17+M17)</f>
        <v>100000</v>
      </c>
      <c r="O17" s="14" t="str">
        <f>IF(B17="","",IF(OR(C17="",L17=""),"Unmapped","OK"))</f>
        <v>OK</v>
      </c>
      <c r="P17" s="14" t="str">
        <f>IF(B17="","",IF(OR(AND(OR(C17="Asset",C17="Expense"),H17&lt;0),AND(OR(C17="Liability",C17="Equity",C17="Revenue"),H17&gt;0)),"Unusual","OK"))</f>
        <v>OK</v>
      </c>
      <c r="Q17" s="14" t="str">
        <f>IF(B17="","",IF(AND(ABS(J17)&gt;='Start Here'!$B$10,IFERROR(ABS(K17)&gt;='Start Here'!$B$11,TRUE)),"Review","OK"))</f>
        <v>Review</v>
      </c>
      <c r="R17" s="14" t="str">
        <f>IF(B17="","",IF(OR(O17&lt;&gt;"OK",P17&lt;&gt;"OK",Q17&lt;&gt;"OK"),"Review","Complete"))</f>
        <v>Review</v>
      </c>
      <c r="S17" s="14" t="str">
        <f>IF('Start Here'!$B$8="Paste Import",'Paste Import'!J17,'Manual Input'!J17)</f>
        <v/>
      </c>
    </row>
    <row r="18" spans="1:19" x14ac:dyDescent="0.25">
      <c r="A18" s="14" t="str">
        <f>IF('Start Here'!$B$8="Paste Import",'Paste Import'!A18,'Manual Input'!A18)</f>
        <v>6100</v>
      </c>
      <c r="B18" s="14" t="str">
        <f>IF('Start Here'!$B$8="Paste Import",'Paste Import'!B18,'Manual Input'!B18)</f>
        <v>Payroll Expense</v>
      </c>
      <c r="C18" s="14" t="str">
        <f>IF('Start Here'!$B$8="Paste Import",'Paste Import'!C18,'Manual Input'!C18)</f>
        <v>Expense</v>
      </c>
      <c r="D18" s="15">
        <f>IF('Start Here'!$B$8="Paste Import",'Paste Import'!D18,'Manual Input'!D18)</f>
        <v>60000</v>
      </c>
      <c r="E18" s="15">
        <f>IF('Start Here'!$B$8="Paste Import",'Paste Import'!E18,'Manual Input'!E18)</f>
        <v>0</v>
      </c>
      <c r="F18" s="15">
        <f>IF('Start Here'!$B$8="Paste Import",'Paste Import'!F18,'Manual Input'!F18)</f>
        <v>55000</v>
      </c>
      <c r="G18" s="15">
        <f>IF('Start Here'!$B$8="Paste Import",'Paste Import'!G18,'Manual Input'!G18)</f>
        <v>0</v>
      </c>
      <c r="H18" s="15">
        <f>IF(B18="","",D18-E18)</f>
        <v>60000</v>
      </c>
      <c r="I18" s="15">
        <f>IF(B18="","",F18-G18)</f>
        <v>55000</v>
      </c>
      <c r="J18" s="15">
        <f>IF(B18="","",H18-I18)</f>
        <v>5000</v>
      </c>
      <c r="K18" s="16">
        <f>IF(B18="","",IF(I18=0,IF(H18=0,"","New"),J18/ABS(I18)))</f>
        <v>0.09090909090909091</v>
      </c>
      <c r="L18" s="14" t="str">
        <f>IF('Start Here'!$B$8="Paste Import",'Paste Import'!H18,'Manual Input'!H18)</f>
        <v>Operating Expenses</v>
      </c>
      <c r="M18" s="15">
        <f>IF('Start Here'!$B$8="Paste Import",'Paste Import'!I18,'Manual Input'!I18)</f>
        <v>0</v>
      </c>
      <c r="N18" s="15">
        <f>IF(B18="","",H18+M18)</f>
        <v>60000</v>
      </c>
      <c r="O18" s="14" t="str">
        <f>IF(B18="","",IF(OR(C18="",L18=""),"Unmapped","OK"))</f>
        <v>OK</v>
      </c>
      <c r="P18" s="14" t="str">
        <f>IF(B18="","",IF(OR(AND(OR(C18="Asset",C18="Expense"),H18&lt;0),AND(OR(C18="Liability",C18="Equity",C18="Revenue"),H18&gt;0)),"Unusual","OK"))</f>
        <v>OK</v>
      </c>
      <c r="Q18" s="14" t="str">
        <f>IF(B18="","",IF(AND(ABS(J18)&gt;='Start Here'!$B$10,IFERROR(ABS(K18)&gt;='Start Here'!$B$11,TRUE)),"Review","OK"))</f>
        <v>OK</v>
      </c>
      <c r="R18" s="14" t="str">
        <f>IF(B18="","",IF(OR(O18&lt;&gt;"OK",P18&lt;&gt;"OK",Q18&lt;&gt;"OK"),"Review","Complete"))</f>
        <v>Complete</v>
      </c>
      <c r="S18" s="14" t="str">
        <f>IF('Start Here'!$B$8="Paste Import",'Paste Import'!J18,'Manual Input'!J18)</f>
        <v/>
      </c>
    </row>
    <row r="19" spans="1:19" x14ac:dyDescent="0.25">
      <c r="A19" s="14" t="str">
        <f>IF('Start Here'!$B$8="Paste Import",'Paste Import'!A19,'Manual Input'!A19)</f>
        <v>6200</v>
      </c>
      <c r="B19" s="14" t="str">
        <f>IF('Start Here'!$B$8="Paste Import",'Paste Import'!B19,'Manual Input'!B19)</f>
        <v>Rent Expense</v>
      </c>
      <c r="C19" s="14" t="str">
        <f>IF('Start Here'!$B$8="Paste Import",'Paste Import'!C19,'Manual Input'!C19)</f>
        <v>Expense</v>
      </c>
      <c r="D19" s="15">
        <f>IF('Start Here'!$B$8="Paste Import",'Paste Import'!D19,'Manual Input'!D19)</f>
        <v>20000</v>
      </c>
      <c r="E19" s="15">
        <f>IF('Start Here'!$B$8="Paste Import",'Paste Import'!E19,'Manual Input'!E19)</f>
        <v>0</v>
      </c>
      <c r="F19" s="15">
        <f>IF('Start Here'!$B$8="Paste Import",'Paste Import'!F19,'Manual Input'!F19)</f>
        <v>20000</v>
      </c>
      <c r="G19" s="15">
        <f>IF('Start Here'!$B$8="Paste Import",'Paste Import'!G19,'Manual Input'!G19)</f>
        <v>0</v>
      </c>
      <c r="H19" s="15">
        <f>IF(B19="","",D19-E19)</f>
        <v>20000</v>
      </c>
      <c r="I19" s="15">
        <f>IF(B19="","",F19-G19)</f>
        <v>20000</v>
      </c>
      <c r="J19" s="15">
        <f>IF(B19="","",H19-I19)</f>
        <v>0</v>
      </c>
      <c r="K19" s="16">
        <f>IF(B19="","",IF(I19=0,IF(H19=0,"","New"),J19/ABS(I19)))</f>
        <v>0</v>
      </c>
      <c r="L19" s="14" t="str">
        <f>IF('Start Here'!$B$8="Paste Import",'Paste Import'!H19,'Manual Input'!H19)</f>
        <v>Operating Expenses</v>
      </c>
      <c r="M19" s="15">
        <f>IF('Start Here'!$B$8="Paste Import",'Paste Import'!I19,'Manual Input'!I19)</f>
        <v>0</v>
      </c>
      <c r="N19" s="15">
        <f>IF(B19="","",H19+M19)</f>
        <v>20000</v>
      </c>
      <c r="O19" s="14" t="str">
        <f>IF(B19="","",IF(OR(C19="",L19=""),"Unmapped","OK"))</f>
        <v>OK</v>
      </c>
      <c r="P19" s="14" t="str">
        <f>IF(B19="","",IF(OR(AND(OR(C19="Asset",C19="Expense"),H19&lt;0),AND(OR(C19="Liability",C19="Equity",C19="Revenue"),H19&gt;0)),"Unusual","OK"))</f>
        <v>OK</v>
      </c>
      <c r="Q19" s="14" t="str">
        <f>IF(B19="","",IF(AND(ABS(J19)&gt;='Start Here'!$B$10,IFERROR(ABS(K19)&gt;='Start Here'!$B$11,TRUE)),"Review","OK"))</f>
        <v>OK</v>
      </c>
      <c r="R19" s="14" t="str">
        <f>IF(B19="","",IF(OR(O19&lt;&gt;"OK",P19&lt;&gt;"OK",Q19&lt;&gt;"OK"),"Review","Complete"))</f>
        <v>Complete</v>
      </c>
      <c r="S19" s="14" t="str">
        <f>IF('Start Here'!$B$8="Paste Import",'Paste Import'!J19,'Manual Input'!J19)</f>
        <v/>
      </c>
    </row>
    <row r="20" spans="1:19" x14ac:dyDescent="0.25">
      <c r="A20" s="14" t="str">
        <f>IF('Start Here'!$B$8="Paste Import",'Paste Import'!A20,'Manual Input'!A20)</f>
        <v>6900</v>
      </c>
      <c r="B20" s="14" t="str">
        <f>IF('Start Here'!$B$8="Paste Import",'Paste Import'!B20,'Manual Input'!B20)</f>
        <v>New Compliance Expense</v>
      </c>
      <c r="C20" s="14" t="str">
        <f>IF('Start Here'!$B$8="Paste Import",'Paste Import'!C20,'Manual Input'!C20)</f>
        <v>Expense</v>
      </c>
      <c r="D20" s="15">
        <f>IF('Start Here'!$B$8="Paste Import",'Paste Import'!D20,'Manual Input'!D20)</f>
        <v>5000</v>
      </c>
      <c r="E20" s="15">
        <f>IF('Start Here'!$B$8="Paste Import",'Paste Import'!E20,'Manual Input'!E20)</f>
        <v>0</v>
      </c>
      <c r="F20" s="15">
        <f>IF('Start Here'!$B$8="Paste Import",'Paste Import'!F20,'Manual Input'!F20)</f>
        <v>0</v>
      </c>
      <c r="G20" s="15">
        <f>IF('Start Here'!$B$8="Paste Import",'Paste Import'!G20,'Manual Input'!G20)</f>
        <v>0</v>
      </c>
      <c r="H20" s="15">
        <f>IF(B20="","",D20-E20)</f>
        <v>5000</v>
      </c>
      <c r="I20" s="15">
        <f>IF(B20="","",F20-G20)</f>
        <v>0</v>
      </c>
      <c r="J20" s="15">
        <f>IF(B20="","",H20-I20)</f>
        <v>5000</v>
      </c>
      <c r="K20" s="16" t="str">
        <f>IF(B20="","",IF(I20=0,IF(H20=0,"","New"),J20/ABS(I20)))</f>
        <v>New</v>
      </c>
      <c r="L20" s="14" t="str">
        <f>IF('Start Here'!$B$8="Paste Import",'Paste Import'!H20,'Manual Input'!H20)</f>
        <v/>
      </c>
      <c r="M20" s="15">
        <f>IF('Start Here'!$B$8="Paste Import",'Paste Import'!I20,'Manual Input'!I20)</f>
        <v>0</v>
      </c>
      <c r="N20" s="15">
        <f>IF(B20="","",H20+M20)</f>
        <v>5000</v>
      </c>
      <c r="O20" s="14" t="str">
        <f>IF(B20="","",IF(OR(C20="",L20=""),"Unmapped","OK"))</f>
        <v>Unmapped</v>
      </c>
      <c r="P20" s="14" t="str">
        <f>IF(B20="","",IF(OR(AND(OR(C20="Asset",C20="Expense"),H20&lt;0),AND(OR(C20="Liability",C20="Equity",C20="Revenue"),H20&gt;0)),"Unusual","OK"))</f>
        <v>OK</v>
      </c>
      <c r="Q20" s="14" t="str">
        <f>IF(B20="","",IF(AND(ABS(J20)&gt;='Start Here'!$B$10,IFERROR(ABS(K20)&gt;='Start Here'!$B$11,TRUE)),"Review","OK"))</f>
        <v>Review</v>
      </c>
      <c r="R20" s="14" t="str">
        <f>IF(B20="","",IF(OR(O20&lt;&gt;"OK",P20&lt;&gt;"OK",Q20&lt;&gt;"OK"),"Review","Complete"))</f>
        <v>Review</v>
      </c>
      <c r="S20" s="14" t="str">
        <f>IF('Start Here'!$B$8="Paste Import",'Paste Import'!J20,'Manual Input'!J20)</f>
        <v>New account intentionally unmapped</v>
      </c>
    </row>
    <row r="21" spans="1:19" x14ac:dyDescent="0.25">
      <c r="A21" s="14" t="str">
        <f>IF('Start Here'!$B$8="Paste Import",'Paste Import'!A21,'Manual Input'!A21)</f>
        <v/>
      </c>
      <c r="B21" s="14" t="str">
        <f>IF('Start Here'!$B$8="Paste Import",'Paste Import'!B21,'Manual Input'!B21)</f>
        <v/>
      </c>
      <c r="C21" s="14" t="str">
        <f>IF('Start Here'!$B$8="Paste Import",'Paste Import'!C21,'Manual Input'!C21)</f>
        <v/>
      </c>
      <c r="D21" s="15" t="str">
        <f>IF('Start Here'!$B$8="Paste Import",'Paste Import'!D21,'Manual Input'!D21)</f>
        <v/>
      </c>
      <c r="E21" s="15" t="str">
        <f>IF('Start Here'!$B$8="Paste Import",'Paste Import'!E21,'Manual Input'!E21)</f>
        <v/>
      </c>
      <c r="F21" s="15" t="str">
        <f>IF('Start Here'!$B$8="Paste Import",'Paste Import'!F21,'Manual Input'!F21)</f>
        <v/>
      </c>
      <c r="G21" s="15" t="str">
        <f>IF('Start Here'!$B$8="Paste Import",'Paste Import'!G21,'Manual Input'!G21)</f>
        <v/>
      </c>
      <c r="H21" s="15" t="str">
        <f>IF(B21="","",D21-E21)</f>
        <v/>
      </c>
      <c r="I21" s="15" t="str">
        <f>IF(B21="","",F21-G21)</f>
        <v/>
      </c>
      <c r="J21" s="15" t="str">
        <f>IF(B21="","",H21-I21)</f>
        <v/>
      </c>
      <c r="K21" s="16" t="str">
        <f>IF(B21="","",IF(I21=0,IF(H21=0,"","New"),J21/ABS(I21)))</f>
        <v/>
      </c>
      <c r="L21" s="14" t="str">
        <f>IF('Start Here'!$B$8="Paste Import",'Paste Import'!H21,'Manual Input'!H21)</f>
        <v/>
      </c>
      <c r="M21" s="15" t="str">
        <f>IF('Start Here'!$B$8="Paste Import",'Paste Import'!I21,'Manual Input'!I21)</f>
        <v/>
      </c>
      <c r="N21" s="15" t="str">
        <f>IF(B21="","",H21+M21)</f>
        <v/>
      </c>
      <c r="O21" s="14" t="str">
        <f>IF(B21="","",IF(OR(C21="",L21=""),"Unmapped","OK"))</f>
        <v/>
      </c>
      <c r="P21" s="14" t="str">
        <f>IF(B21="","",IF(OR(AND(OR(C21="Asset",C21="Expense"),H21&lt;0),AND(OR(C21="Liability",C21="Equity",C21="Revenue"),H21&gt;0)),"Unusual","OK"))</f>
        <v/>
      </c>
      <c r="Q21" s="14" t="str">
        <f>IF(B21="","",IF(AND(ABS(J21)&gt;='Start Here'!$B$10,IFERROR(ABS(K21)&gt;='Start Here'!$B$11,TRUE)),"Review","OK"))</f>
        <v/>
      </c>
      <c r="R21" s="14" t="str">
        <f>IF(B21="","",IF(OR(O21&lt;&gt;"OK",P21&lt;&gt;"OK",Q21&lt;&gt;"OK"),"Review","Complete"))</f>
        <v/>
      </c>
      <c r="S21" s="14" t="str">
        <f>IF('Start Here'!$B$8="Paste Import",'Paste Import'!J21,'Manual Input'!J21)</f>
        <v/>
      </c>
    </row>
    <row r="22" spans="1:19" x14ac:dyDescent="0.25">
      <c r="A22" s="14" t="str">
        <f>IF('Start Here'!$B$8="Paste Import",'Paste Import'!A22,'Manual Input'!A22)</f>
        <v/>
      </c>
      <c r="B22" s="14" t="str">
        <f>IF('Start Here'!$B$8="Paste Import",'Paste Import'!B22,'Manual Input'!B22)</f>
        <v/>
      </c>
      <c r="C22" s="14" t="str">
        <f>IF('Start Here'!$B$8="Paste Import",'Paste Import'!C22,'Manual Input'!C22)</f>
        <v/>
      </c>
      <c r="D22" s="15" t="str">
        <f>IF('Start Here'!$B$8="Paste Import",'Paste Import'!D22,'Manual Input'!D22)</f>
        <v/>
      </c>
      <c r="E22" s="15" t="str">
        <f>IF('Start Here'!$B$8="Paste Import",'Paste Import'!E22,'Manual Input'!E22)</f>
        <v/>
      </c>
      <c r="F22" s="15" t="str">
        <f>IF('Start Here'!$B$8="Paste Import",'Paste Import'!F22,'Manual Input'!F22)</f>
        <v/>
      </c>
      <c r="G22" s="15" t="str">
        <f>IF('Start Here'!$B$8="Paste Import",'Paste Import'!G22,'Manual Input'!G22)</f>
        <v/>
      </c>
      <c r="H22" s="15" t="str">
        <f>IF(B22="","",D22-E22)</f>
        <v/>
      </c>
      <c r="I22" s="15" t="str">
        <f>IF(B22="","",F22-G22)</f>
        <v/>
      </c>
      <c r="J22" s="15" t="str">
        <f>IF(B22="","",H22-I22)</f>
        <v/>
      </c>
      <c r="K22" s="16" t="str">
        <f>IF(B22="","",IF(I22=0,IF(H22=0,"","New"),J22/ABS(I22)))</f>
        <v/>
      </c>
      <c r="L22" s="14" t="str">
        <f>IF('Start Here'!$B$8="Paste Import",'Paste Import'!H22,'Manual Input'!H22)</f>
        <v/>
      </c>
      <c r="M22" s="15" t="str">
        <f>IF('Start Here'!$B$8="Paste Import",'Paste Import'!I22,'Manual Input'!I22)</f>
        <v/>
      </c>
      <c r="N22" s="15" t="str">
        <f>IF(B22="","",H22+M22)</f>
        <v/>
      </c>
      <c r="O22" s="14" t="str">
        <f>IF(B22="","",IF(OR(C22="",L22=""),"Unmapped","OK"))</f>
        <v/>
      </c>
      <c r="P22" s="14" t="str">
        <f>IF(B22="","",IF(OR(AND(OR(C22="Asset",C22="Expense"),H22&lt;0),AND(OR(C22="Liability",C22="Equity",C22="Revenue"),H22&gt;0)),"Unusual","OK"))</f>
        <v/>
      </c>
      <c r="Q22" s="14" t="str">
        <f>IF(B22="","",IF(AND(ABS(J22)&gt;='Start Here'!$B$10,IFERROR(ABS(K22)&gt;='Start Here'!$B$11,TRUE)),"Review","OK"))</f>
        <v/>
      </c>
      <c r="R22" s="14" t="str">
        <f>IF(B22="","",IF(OR(O22&lt;&gt;"OK",P22&lt;&gt;"OK",Q22&lt;&gt;"OK"),"Review","Complete"))</f>
        <v/>
      </c>
      <c r="S22" s="14" t="str">
        <f>IF('Start Here'!$B$8="Paste Import",'Paste Import'!J22,'Manual Input'!J22)</f>
        <v/>
      </c>
    </row>
    <row r="23" spans="1:19" x14ac:dyDescent="0.25">
      <c r="A23" s="14" t="str">
        <f>IF('Start Here'!$B$8="Paste Import",'Paste Import'!A23,'Manual Input'!A23)</f>
        <v/>
      </c>
      <c r="B23" s="14" t="str">
        <f>IF('Start Here'!$B$8="Paste Import",'Paste Import'!B23,'Manual Input'!B23)</f>
        <v/>
      </c>
      <c r="C23" s="14" t="str">
        <f>IF('Start Here'!$B$8="Paste Import",'Paste Import'!C23,'Manual Input'!C23)</f>
        <v/>
      </c>
      <c r="D23" s="15" t="str">
        <f>IF('Start Here'!$B$8="Paste Import",'Paste Import'!D23,'Manual Input'!D23)</f>
        <v/>
      </c>
      <c r="E23" s="15" t="str">
        <f>IF('Start Here'!$B$8="Paste Import",'Paste Import'!E23,'Manual Input'!E23)</f>
        <v/>
      </c>
      <c r="F23" s="15" t="str">
        <f>IF('Start Here'!$B$8="Paste Import",'Paste Import'!F23,'Manual Input'!F23)</f>
        <v/>
      </c>
      <c r="G23" s="15" t="str">
        <f>IF('Start Here'!$B$8="Paste Import",'Paste Import'!G23,'Manual Input'!G23)</f>
        <v/>
      </c>
      <c r="H23" s="15" t="str">
        <f>IF(B23="","",D23-E23)</f>
        <v/>
      </c>
      <c r="I23" s="15" t="str">
        <f>IF(B23="","",F23-G23)</f>
        <v/>
      </c>
      <c r="J23" s="15" t="str">
        <f>IF(B23="","",H23-I23)</f>
        <v/>
      </c>
      <c r="K23" s="16" t="str">
        <f>IF(B23="","",IF(I23=0,IF(H23=0,"","New"),J23/ABS(I23)))</f>
        <v/>
      </c>
      <c r="L23" s="14" t="str">
        <f>IF('Start Here'!$B$8="Paste Import",'Paste Import'!H23,'Manual Input'!H23)</f>
        <v/>
      </c>
      <c r="M23" s="15" t="str">
        <f>IF('Start Here'!$B$8="Paste Import",'Paste Import'!I23,'Manual Input'!I23)</f>
        <v/>
      </c>
      <c r="N23" s="15" t="str">
        <f>IF(B23="","",H23+M23)</f>
        <v/>
      </c>
      <c r="O23" s="14" t="str">
        <f>IF(B23="","",IF(OR(C23="",L23=""),"Unmapped","OK"))</f>
        <v/>
      </c>
      <c r="P23" s="14" t="str">
        <f>IF(B23="","",IF(OR(AND(OR(C23="Asset",C23="Expense"),H23&lt;0),AND(OR(C23="Liability",C23="Equity",C23="Revenue"),H23&gt;0)),"Unusual","OK"))</f>
        <v/>
      </c>
      <c r="Q23" s="14" t="str">
        <f>IF(B23="","",IF(AND(ABS(J23)&gt;='Start Here'!$B$10,IFERROR(ABS(K23)&gt;='Start Here'!$B$11,TRUE)),"Review","OK"))</f>
        <v/>
      </c>
      <c r="R23" s="14" t="str">
        <f>IF(B23="","",IF(OR(O23&lt;&gt;"OK",P23&lt;&gt;"OK",Q23&lt;&gt;"OK"),"Review","Complete"))</f>
        <v/>
      </c>
      <c r="S23" s="14" t="str">
        <f>IF('Start Here'!$B$8="Paste Import",'Paste Import'!J23,'Manual Input'!J23)</f>
        <v/>
      </c>
    </row>
    <row r="24" spans="1:19" x14ac:dyDescent="0.25">
      <c r="A24" s="14" t="str">
        <f>IF('Start Here'!$B$8="Paste Import",'Paste Import'!A24,'Manual Input'!A24)</f>
        <v/>
      </c>
      <c r="B24" s="14" t="str">
        <f>IF('Start Here'!$B$8="Paste Import",'Paste Import'!B24,'Manual Input'!B24)</f>
        <v/>
      </c>
      <c r="C24" s="14" t="str">
        <f>IF('Start Here'!$B$8="Paste Import",'Paste Import'!C24,'Manual Input'!C24)</f>
        <v/>
      </c>
      <c r="D24" s="15" t="str">
        <f>IF('Start Here'!$B$8="Paste Import",'Paste Import'!D24,'Manual Input'!D24)</f>
        <v/>
      </c>
      <c r="E24" s="15" t="str">
        <f>IF('Start Here'!$B$8="Paste Import",'Paste Import'!E24,'Manual Input'!E24)</f>
        <v/>
      </c>
      <c r="F24" s="15" t="str">
        <f>IF('Start Here'!$B$8="Paste Import",'Paste Import'!F24,'Manual Input'!F24)</f>
        <v/>
      </c>
      <c r="G24" s="15" t="str">
        <f>IF('Start Here'!$B$8="Paste Import",'Paste Import'!G24,'Manual Input'!G24)</f>
        <v/>
      </c>
      <c r="H24" s="15" t="str">
        <f>IF(B24="","",D24-E24)</f>
        <v/>
      </c>
      <c r="I24" s="15" t="str">
        <f>IF(B24="","",F24-G24)</f>
        <v/>
      </c>
      <c r="J24" s="15" t="str">
        <f>IF(B24="","",H24-I24)</f>
        <v/>
      </c>
      <c r="K24" s="16" t="str">
        <f>IF(B24="","",IF(I24=0,IF(H24=0,"","New"),J24/ABS(I24)))</f>
        <v/>
      </c>
      <c r="L24" s="14" t="str">
        <f>IF('Start Here'!$B$8="Paste Import",'Paste Import'!H24,'Manual Input'!H24)</f>
        <v/>
      </c>
      <c r="M24" s="15" t="str">
        <f>IF('Start Here'!$B$8="Paste Import",'Paste Import'!I24,'Manual Input'!I24)</f>
        <v/>
      </c>
      <c r="N24" s="15" t="str">
        <f>IF(B24="","",H24+M24)</f>
        <v/>
      </c>
      <c r="O24" s="14" t="str">
        <f>IF(B24="","",IF(OR(C24="",L24=""),"Unmapped","OK"))</f>
        <v/>
      </c>
      <c r="P24" s="14" t="str">
        <f>IF(B24="","",IF(OR(AND(OR(C24="Asset",C24="Expense"),H24&lt;0),AND(OR(C24="Liability",C24="Equity",C24="Revenue"),H24&gt;0)),"Unusual","OK"))</f>
        <v/>
      </c>
      <c r="Q24" s="14" t="str">
        <f>IF(B24="","",IF(AND(ABS(J24)&gt;='Start Here'!$B$10,IFERROR(ABS(K24)&gt;='Start Here'!$B$11,TRUE)),"Review","OK"))</f>
        <v/>
      </c>
      <c r="R24" s="14" t="str">
        <f>IF(B24="","",IF(OR(O24&lt;&gt;"OK",P24&lt;&gt;"OK",Q24&lt;&gt;"OK"),"Review","Complete"))</f>
        <v/>
      </c>
      <c r="S24" s="14" t="str">
        <f>IF('Start Here'!$B$8="Paste Import",'Paste Import'!J24,'Manual Input'!J24)</f>
        <v/>
      </c>
    </row>
    <row r="25" spans="1:19" x14ac:dyDescent="0.25">
      <c r="A25" s="14" t="str">
        <f>IF('Start Here'!$B$8="Paste Import",'Paste Import'!A25,'Manual Input'!A25)</f>
        <v/>
      </c>
      <c r="B25" s="14" t="str">
        <f>IF('Start Here'!$B$8="Paste Import",'Paste Import'!B25,'Manual Input'!B25)</f>
        <v/>
      </c>
      <c r="C25" s="14" t="str">
        <f>IF('Start Here'!$B$8="Paste Import",'Paste Import'!C25,'Manual Input'!C25)</f>
        <v/>
      </c>
      <c r="D25" s="15" t="str">
        <f>IF('Start Here'!$B$8="Paste Import",'Paste Import'!D25,'Manual Input'!D25)</f>
        <v/>
      </c>
      <c r="E25" s="15" t="str">
        <f>IF('Start Here'!$B$8="Paste Import",'Paste Import'!E25,'Manual Input'!E25)</f>
        <v/>
      </c>
      <c r="F25" s="15" t="str">
        <f>IF('Start Here'!$B$8="Paste Import",'Paste Import'!F25,'Manual Input'!F25)</f>
        <v/>
      </c>
      <c r="G25" s="15" t="str">
        <f>IF('Start Here'!$B$8="Paste Import",'Paste Import'!G25,'Manual Input'!G25)</f>
        <v/>
      </c>
      <c r="H25" s="15" t="str">
        <f>IF(B25="","",D25-E25)</f>
        <v/>
      </c>
      <c r="I25" s="15" t="str">
        <f>IF(B25="","",F25-G25)</f>
        <v/>
      </c>
      <c r="J25" s="15" t="str">
        <f>IF(B25="","",H25-I25)</f>
        <v/>
      </c>
      <c r="K25" s="16" t="str">
        <f>IF(B25="","",IF(I25=0,IF(H25=0,"","New"),J25/ABS(I25)))</f>
        <v/>
      </c>
      <c r="L25" s="14" t="str">
        <f>IF('Start Here'!$B$8="Paste Import",'Paste Import'!H25,'Manual Input'!H25)</f>
        <v/>
      </c>
      <c r="M25" s="15" t="str">
        <f>IF('Start Here'!$B$8="Paste Import",'Paste Import'!I25,'Manual Input'!I25)</f>
        <v/>
      </c>
      <c r="N25" s="15" t="str">
        <f>IF(B25="","",H25+M25)</f>
        <v/>
      </c>
      <c r="O25" s="14" t="str">
        <f>IF(B25="","",IF(OR(C25="",L25=""),"Unmapped","OK"))</f>
        <v/>
      </c>
      <c r="P25" s="14" t="str">
        <f>IF(B25="","",IF(OR(AND(OR(C25="Asset",C25="Expense"),H25&lt;0),AND(OR(C25="Liability",C25="Equity",C25="Revenue"),H25&gt;0)),"Unusual","OK"))</f>
        <v/>
      </c>
      <c r="Q25" s="14" t="str">
        <f>IF(B25="","",IF(AND(ABS(J25)&gt;='Start Here'!$B$10,IFERROR(ABS(K25)&gt;='Start Here'!$B$11,TRUE)),"Review","OK"))</f>
        <v/>
      </c>
      <c r="R25" s="14" t="str">
        <f>IF(B25="","",IF(OR(O25&lt;&gt;"OK",P25&lt;&gt;"OK",Q25&lt;&gt;"OK"),"Review","Complete"))</f>
        <v/>
      </c>
      <c r="S25" s="14" t="str">
        <f>IF('Start Here'!$B$8="Paste Import",'Paste Import'!J25,'Manual Input'!J25)</f>
        <v/>
      </c>
    </row>
    <row r="26" spans="1:19" x14ac:dyDescent="0.25">
      <c r="A26" s="14" t="str">
        <f>IF('Start Here'!$B$8="Paste Import",'Paste Import'!A26,'Manual Input'!A26)</f>
        <v/>
      </c>
      <c r="B26" s="14" t="str">
        <f>IF('Start Here'!$B$8="Paste Import",'Paste Import'!B26,'Manual Input'!B26)</f>
        <v/>
      </c>
      <c r="C26" s="14" t="str">
        <f>IF('Start Here'!$B$8="Paste Import",'Paste Import'!C26,'Manual Input'!C26)</f>
        <v/>
      </c>
      <c r="D26" s="15" t="str">
        <f>IF('Start Here'!$B$8="Paste Import",'Paste Import'!D26,'Manual Input'!D26)</f>
        <v/>
      </c>
      <c r="E26" s="15" t="str">
        <f>IF('Start Here'!$B$8="Paste Import",'Paste Import'!E26,'Manual Input'!E26)</f>
        <v/>
      </c>
      <c r="F26" s="15" t="str">
        <f>IF('Start Here'!$B$8="Paste Import",'Paste Import'!F26,'Manual Input'!F26)</f>
        <v/>
      </c>
      <c r="G26" s="15" t="str">
        <f>IF('Start Here'!$B$8="Paste Import",'Paste Import'!G26,'Manual Input'!G26)</f>
        <v/>
      </c>
      <c r="H26" s="15" t="str">
        <f>IF(B26="","",D26-E26)</f>
        <v/>
      </c>
      <c r="I26" s="15" t="str">
        <f>IF(B26="","",F26-G26)</f>
        <v/>
      </c>
      <c r="J26" s="15" t="str">
        <f>IF(B26="","",H26-I26)</f>
        <v/>
      </c>
      <c r="K26" s="16" t="str">
        <f>IF(B26="","",IF(I26=0,IF(H26=0,"","New"),J26/ABS(I26)))</f>
        <v/>
      </c>
      <c r="L26" s="14" t="str">
        <f>IF('Start Here'!$B$8="Paste Import",'Paste Import'!H26,'Manual Input'!H26)</f>
        <v/>
      </c>
      <c r="M26" s="15" t="str">
        <f>IF('Start Here'!$B$8="Paste Import",'Paste Import'!I26,'Manual Input'!I26)</f>
        <v/>
      </c>
      <c r="N26" s="15" t="str">
        <f>IF(B26="","",H26+M26)</f>
        <v/>
      </c>
      <c r="O26" s="14" t="str">
        <f>IF(B26="","",IF(OR(C26="",L26=""),"Unmapped","OK"))</f>
        <v/>
      </c>
      <c r="P26" s="14" t="str">
        <f>IF(B26="","",IF(OR(AND(OR(C26="Asset",C26="Expense"),H26&lt;0),AND(OR(C26="Liability",C26="Equity",C26="Revenue"),H26&gt;0)),"Unusual","OK"))</f>
        <v/>
      </c>
      <c r="Q26" s="14" t="str">
        <f>IF(B26="","",IF(AND(ABS(J26)&gt;='Start Here'!$B$10,IFERROR(ABS(K26)&gt;='Start Here'!$B$11,TRUE)),"Review","OK"))</f>
        <v/>
      </c>
      <c r="R26" s="14" t="str">
        <f>IF(B26="","",IF(OR(O26&lt;&gt;"OK",P26&lt;&gt;"OK",Q26&lt;&gt;"OK"),"Review","Complete"))</f>
        <v/>
      </c>
      <c r="S26" s="14" t="str">
        <f>IF('Start Here'!$B$8="Paste Import",'Paste Import'!J26,'Manual Input'!J26)</f>
        <v/>
      </c>
    </row>
    <row r="27" spans="1:19" x14ac:dyDescent="0.25">
      <c r="A27" s="14" t="str">
        <f>IF('Start Here'!$B$8="Paste Import",'Paste Import'!A27,'Manual Input'!A27)</f>
        <v/>
      </c>
      <c r="B27" s="14" t="str">
        <f>IF('Start Here'!$B$8="Paste Import",'Paste Import'!B27,'Manual Input'!B27)</f>
        <v/>
      </c>
      <c r="C27" s="14" t="str">
        <f>IF('Start Here'!$B$8="Paste Import",'Paste Import'!C27,'Manual Input'!C27)</f>
        <v/>
      </c>
      <c r="D27" s="15" t="str">
        <f>IF('Start Here'!$B$8="Paste Import",'Paste Import'!D27,'Manual Input'!D27)</f>
        <v/>
      </c>
      <c r="E27" s="15" t="str">
        <f>IF('Start Here'!$B$8="Paste Import",'Paste Import'!E27,'Manual Input'!E27)</f>
        <v/>
      </c>
      <c r="F27" s="15" t="str">
        <f>IF('Start Here'!$B$8="Paste Import",'Paste Import'!F27,'Manual Input'!F27)</f>
        <v/>
      </c>
      <c r="G27" s="15" t="str">
        <f>IF('Start Here'!$B$8="Paste Import",'Paste Import'!G27,'Manual Input'!G27)</f>
        <v/>
      </c>
      <c r="H27" s="15" t="str">
        <f>IF(B27="","",D27-E27)</f>
        <v/>
      </c>
      <c r="I27" s="15" t="str">
        <f>IF(B27="","",F27-G27)</f>
        <v/>
      </c>
      <c r="J27" s="15" t="str">
        <f>IF(B27="","",H27-I27)</f>
        <v/>
      </c>
      <c r="K27" s="16" t="str">
        <f>IF(B27="","",IF(I27=0,IF(H27=0,"","New"),J27/ABS(I27)))</f>
        <v/>
      </c>
      <c r="L27" s="14" t="str">
        <f>IF('Start Here'!$B$8="Paste Import",'Paste Import'!H27,'Manual Input'!H27)</f>
        <v/>
      </c>
      <c r="M27" s="15" t="str">
        <f>IF('Start Here'!$B$8="Paste Import",'Paste Import'!I27,'Manual Input'!I27)</f>
        <v/>
      </c>
      <c r="N27" s="15" t="str">
        <f>IF(B27="","",H27+M27)</f>
        <v/>
      </c>
      <c r="O27" s="14" t="str">
        <f>IF(B27="","",IF(OR(C27="",L27=""),"Unmapped","OK"))</f>
        <v/>
      </c>
      <c r="P27" s="14" t="str">
        <f>IF(B27="","",IF(OR(AND(OR(C27="Asset",C27="Expense"),H27&lt;0),AND(OR(C27="Liability",C27="Equity",C27="Revenue"),H27&gt;0)),"Unusual","OK"))</f>
        <v/>
      </c>
      <c r="Q27" s="14" t="str">
        <f>IF(B27="","",IF(AND(ABS(J27)&gt;='Start Here'!$B$10,IFERROR(ABS(K27)&gt;='Start Here'!$B$11,TRUE)),"Review","OK"))</f>
        <v/>
      </c>
      <c r="R27" s="14" t="str">
        <f>IF(B27="","",IF(OR(O27&lt;&gt;"OK",P27&lt;&gt;"OK",Q27&lt;&gt;"OK"),"Review","Complete"))</f>
        <v/>
      </c>
      <c r="S27" s="14" t="str">
        <f>IF('Start Here'!$B$8="Paste Import",'Paste Import'!J27,'Manual Input'!J27)</f>
        <v/>
      </c>
    </row>
    <row r="28" spans="1:19" x14ac:dyDescent="0.25">
      <c r="A28" s="14" t="str">
        <f>IF('Start Here'!$B$8="Paste Import",'Paste Import'!A28,'Manual Input'!A28)</f>
        <v/>
      </c>
      <c r="B28" s="14" t="str">
        <f>IF('Start Here'!$B$8="Paste Import",'Paste Import'!B28,'Manual Input'!B28)</f>
        <v/>
      </c>
      <c r="C28" s="14" t="str">
        <f>IF('Start Here'!$B$8="Paste Import",'Paste Import'!C28,'Manual Input'!C28)</f>
        <v/>
      </c>
      <c r="D28" s="15" t="str">
        <f>IF('Start Here'!$B$8="Paste Import",'Paste Import'!D28,'Manual Input'!D28)</f>
        <v/>
      </c>
      <c r="E28" s="15" t="str">
        <f>IF('Start Here'!$B$8="Paste Import",'Paste Import'!E28,'Manual Input'!E28)</f>
        <v/>
      </c>
      <c r="F28" s="15" t="str">
        <f>IF('Start Here'!$B$8="Paste Import",'Paste Import'!F28,'Manual Input'!F28)</f>
        <v/>
      </c>
      <c r="G28" s="15" t="str">
        <f>IF('Start Here'!$B$8="Paste Import",'Paste Import'!G28,'Manual Input'!G28)</f>
        <v/>
      </c>
      <c r="H28" s="15" t="str">
        <f>IF(B28="","",D28-E28)</f>
        <v/>
      </c>
      <c r="I28" s="15" t="str">
        <f>IF(B28="","",F28-G28)</f>
        <v/>
      </c>
      <c r="J28" s="15" t="str">
        <f>IF(B28="","",H28-I28)</f>
        <v/>
      </c>
      <c r="K28" s="16" t="str">
        <f>IF(B28="","",IF(I28=0,IF(H28=0,"","New"),J28/ABS(I28)))</f>
        <v/>
      </c>
      <c r="L28" s="14" t="str">
        <f>IF('Start Here'!$B$8="Paste Import",'Paste Import'!H28,'Manual Input'!H28)</f>
        <v/>
      </c>
      <c r="M28" s="15" t="str">
        <f>IF('Start Here'!$B$8="Paste Import",'Paste Import'!I28,'Manual Input'!I28)</f>
        <v/>
      </c>
      <c r="N28" s="15" t="str">
        <f>IF(B28="","",H28+M28)</f>
        <v/>
      </c>
      <c r="O28" s="14" t="str">
        <f>IF(B28="","",IF(OR(C28="",L28=""),"Unmapped","OK"))</f>
        <v/>
      </c>
      <c r="P28" s="14" t="str">
        <f>IF(B28="","",IF(OR(AND(OR(C28="Asset",C28="Expense"),H28&lt;0),AND(OR(C28="Liability",C28="Equity",C28="Revenue"),H28&gt;0)),"Unusual","OK"))</f>
        <v/>
      </c>
      <c r="Q28" s="14" t="str">
        <f>IF(B28="","",IF(AND(ABS(J28)&gt;='Start Here'!$B$10,IFERROR(ABS(K28)&gt;='Start Here'!$B$11,TRUE)),"Review","OK"))</f>
        <v/>
      </c>
      <c r="R28" s="14" t="str">
        <f>IF(B28="","",IF(OR(O28&lt;&gt;"OK",P28&lt;&gt;"OK",Q28&lt;&gt;"OK"),"Review","Complete"))</f>
        <v/>
      </c>
      <c r="S28" s="14" t="str">
        <f>IF('Start Here'!$B$8="Paste Import",'Paste Import'!J28,'Manual Input'!J28)</f>
        <v/>
      </c>
    </row>
    <row r="29" spans="1:19" x14ac:dyDescent="0.25">
      <c r="A29" s="14" t="str">
        <f>IF('Start Here'!$B$8="Paste Import",'Paste Import'!A29,'Manual Input'!A29)</f>
        <v/>
      </c>
      <c r="B29" s="14" t="str">
        <f>IF('Start Here'!$B$8="Paste Import",'Paste Import'!B29,'Manual Input'!B29)</f>
        <v/>
      </c>
      <c r="C29" s="14" t="str">
        <f>IF('Start Here'!$B$8="Paste Import",'Paste Import'!C29,'Manual Input'!C29)</f>
        <v/>
      </c>
      <c r="D29" s="15" t="str">
        <f>IF('Start Here'!$B$8="Paste Import",'Paste Import'!D29,'Manual Input'!D29)</f>
        <v/>
      </c>
      <c r="E29" s="15" t="str">
        <f>IF('Start Here'!$B$8="Paste Import",'Paste Import'!E29,'Manual Input'!E29)</f>
        <v/>
      </c>
      <c r="F29" s="15" t="str">
        <f>IF('Start Here'!$B$8="Paste Import",'Paste Import'!F29,'Manual Input'!F29)</f>
        <v/>
      </c>
      <c r="G29" s="15" t="str">
        <f>IF('Start Here'!$B$8="Paste Import",'Paste Import'!G29,'Manual Input'!G29)</f>
        <v/>
      </c>
      <c r="H29" s="15" t="str">
        <f>IF(B29="","",D29-E29)</f>
        <v/>
      </c>
      <c r="I29" s="15" t="str">
        <f>IF(B29="","",F29-G29)</f>
        <v/>
      </c>
      <c r="J29" s="15" t="str">
        <f>IF(B29="","",H29-I29)</f>
        <v/>
      </c>
      <c r="K29" s="16" t="str">
        <f>IF(B29="","",IF(I29=0,IF(H29=0,"","New"),J29/ABS(I29)))</f>
        <v/>
      </c>
      <c r="L29" s="14" t="str">
        <f>IF('Start Here'!$B$8="Paste Import",'Paste Import'!H29,'Manual Input'!H29)</f>
        <v/>
      </c>
      <c r="M29" s="15" t="str">
        <f>IF('Start Here'!$B$8="Paste Import",'Paste Import'!I29,'Manual Input'!I29)</f>
        <v/>
      </c>
      <c r="N29" s="15" t="str">
        <f>IF(B29="","",H29+M29)</f>
        <v/>
      </c>
      <c r="O29" s="14" t="str">
        <f>IF(B29="","",IF(OR(C29="",L29=""),"Unmapped","OK"))</f>
        <v/>
      </c>
      <c r="P29" s="14" t="str">
        <f>IF(B29="","",IF(OR(AND(OR(C29="Asset",C29="Expense"),H29&lt;0),AND(OR(C29="Liability",C29="Equity",C29="Revenue"),H29&gt;0)),"Unusual","OK"))</f>
        <v/>
      </c>
      <c r="Q29" s="14" t="str">
        <f>IF(B29="","",IF(AND(ABS(J29)&gt;='Start Here'!$B$10,IFERROR(ABS(K29)&gt;='Start Here'!$B$11,TRUE)),"Review","OK"))</f>
        <v/>
      </c>
      <c r="R29" s="14" t="str">
        <f>IF(B29="","",IF(OR(O29&lt;&gt;"OK",P29&lt;&gt;"OK",Q29&lt;&gt;"OK"),"Review","Complete"))</f>
        <v/>
      </c>
      <c r="S29" s="14" t="str">
        <f>IF('Start Here'!$B$8="Paste Import",'Paste Import'!J29,'Manual Input'!J29)</f>
        <v/>
      </c>
    </row>
    <row r="30" spans="1:19" x14ac:dyDescent="0.25">
      <c r="A30" s="14" t="str">
        <f>IF('Start Here'!$B$8="Paste Import",'Paste Import'!A30,'Manual Input'!A30)</f>
        <v/>
      </c>
      <c r="B30" s="14" t="str">
        <f>IF('Start Here'!$B$8="Paste Import",'Paste Import'!B30,'Manual Input'!B30)</f>
        <v/>
      </c>
      <c r="C30" s="14" t="str">
        <f>IF('Start Here'!$B$8="Paste Import",'Paste Import'!C30,'Manual Input'!C30)</f>
        <v/>
      </c>
      <c r="D30" s="15" t="str">
        <f>IF('Start Here'!$B$8="Paste Import",'Paste Import'!D30,'Manual Input'!D30)</f>
        <v/>
      </c>
      <c r="E30" s="15" t="str">
        <f>IF('Start Here'!$B$8="Paste Import",'Paste Import'!E30,'Manual Input'!E30)</f>
        <v/>
      </c>
      <c r="F30" s="15" t="str">
        <f>IF('Start Here'!$B$8="Paste Import",'Paste Import'!F30,'Manual Input'!F30)</f>
        <v/>
      </c>
      <c r="G30" s="15" t="str">
        <f>IF('Start Here'!$B$8="Paste Import",'Paste Import'!G30,'Manual Input'!G30)</f>
        <v/>
      </c>
      <c r="H30" s="15" t="str">
        <f>IF(B30="","",D30-E30)</f>
        <v/>
      </c>
      <c r="I30" s="15" t="str">
        <f>IF(B30="","",F30-G30)</f>
        <v/>
      </c>
      <c r="J30" s="15" t="str">
        <f>IF(B30="","",H30-I30)</f>
        <v/>
      </c>
      <c r="K30" s="16" t="str">
        <f>IF(B30="","",IF(I30=0,IF(H30=0,"","New"),J30/ABS(I30)))</f>
        <v/>
      </c>
      <c r="L30" s="14" t="str">
        <f>IF('Start Here'!$B$8="Paste Import",'Paste Import'!H30,'Manual Input'!H30)</f>
        <v/>
      </c>
      <c r="M30" s="15" t="str">
        <f>IF('Start Here'!$B$8="Paste Import",'Paste Import'!I30,'Manual Input'!I30)</f>
        <v/>
      </c>
      <c r="N30" s="15" t="str">
        <f>IF(B30="","",H30+M30)</f>
        <v/>
      </c>
      <c r="O30" s="14" t="str">
        <f>IF(B30="","",IF(OR(C30="",L30=""),"Unmapped","OK"))</f>
        <v/>
      </c>
      <c r="P30" s="14" t="str">
        <f>IF(B30="","",IF(OR(AND(OR(C30="Asset",C30="Expense"),H30&lt;0),AND(OR(C30="Liability",C30="Equity",C30="Revenue"),H30&gt;0)),"Unusual","OK"))</f>
        <v/>
      </c>
      <c r="Q30" s="14" t="str">
        <f>IF(B30="","",IF(AND(ABS(J30)&gt;='Start Here'!$B$10,IFERROR(ABS(K30)&gt;='Start Here'!$B$11,TRUE)),"Review","OK"))</f>
        <v/>
      </c>
      <c r="R30" s="14" t="str">
        <f>IF(B30="","",IF(OR(O30&lt;&gt;"OK",P30&lt;&gt;"OK",Q30&lt;&gt;"OK"),"Review","Complete"))</f>
        <v/>
      </c>
      <c r="S30" s="14" t="str">
        <f>IF('Start Here'!$B$8="Paste Import",'Paste Import'!J30,'Manual Input'!J30)</f>
        <v/>
      </c>
    </row>
    <row r="31" spans="1:19" x14ac:dyDescent="0.25">
      <c r="A31" s="14" t="str">
        <f>IF('Start Here'!$B$8="Paste Import",'Paste Import'!A31,'Manual Input'!A31)</f>
        <v/>
      </c>
      <c r="B31" s="14" t="str">
        <f>IF('Start Here'!$B$8="Paste Import",'Paste Import'!B31,'Manual Input'!B31)</f>
        <v/>
      </c>
      <c r="C31" s="14" t="str">
        <f>IF('Start Here'!$B$8="Paste Import",'Paste Import'!C31,'Manual Input'!C31)</f>
        <v/>
      </c>
      <c r="D31" s="15" t="str">
        <f>IF('Start Here'!$B$8="Paste Import",'Paste Import'!D31,'Manual Input'!D31)</f>
        <v/>
      </c>
      <c r="E31" s="15" t="str">
        <f>IF('Start Here'!$B$8="Paste Import",'Paste Import'!E31,'Manual Input'!E31)</f>
        <v/>
      </c>
      <c r="F31" s="15" t="str">
        <f>IF('Start Here'!$B$8="Paste Import",'Paste Import'!F31,'Manual Input'!F31)</f>
        <v/>
      </c>
      <c r="G31" s="15" t="str">
        <f>IF('Start Here'!$B$8="Paste Import",'Paste Import'!G31,'Manual Input'!G31)</f>
        <v/>
      </c>
      <c r="H31" s="15" t="str">
        <f>IF(B31="","",D31-E31)</f>
        <v/>
      </c>
      <c r="I31" s="15" t="str">
        <f>IF(B31="","",F31-G31)</f>
        <v/>
      </c>
      <c r="J31" s="15" t="str">
        <f>IF(B31="","",H31-I31)</f>
        <v/>
      </c>
      <c r="K31" s="16" t="str">
        <f>IF(B31="","",IF(I31=0,IF(H31=0,"","New"),J31/ABS(I31)))</f>
        <v/>
      </c>
      <c r="L31" s="14" t="str">
        <f>IF('Start Here'!$B$8="Paste Import",'Paste Import'!H31,'Manual Input'!H31)</f>
        <v/>
      </c>
      <c r="M31" s="15" t="str">
        <f>IF('Start Here'!$B$8="Paste Import",'Paste Import'!I31,'Manual Input'!I31)</f>
        <v/>
      </c>
      <c r="N31" s="15" t="str">
        <f>IF(B31="","",H31+M31)</f>
        <v/>
      </c>
      <c r="O31" s="14" t="str">
        <f>IF(B31="","",IF(OR(C31="",L31=""),"Unmapped","OK"))</f>
        <v/>
      </c>
      <c r="P31" s="14" t="str">
        <f>IF(B31="","",IF(OR(AND(OR(C31="Asset",C31="Expense"),H31&lt;0),AND(OR(C31="Liability",C31="Equity",C31="Revenue"),H31&gt;0)),"Unusual","OK"))</f>
        <v/>
      </c>
      <c r="Q31" s="14" t="str">
        <f>IF(B31="","",IF(AND(ABS(J31)&gt;='Start Here'!$B$10,IFERROR(ABS(K31)&gt;='Start Here'!$B$11,TRUE)),"Review","OK"))</f>
        <v/>
      </c>
      <c r="R31" s="14" t="str">
        <f>IF(B31="","",IF(OR(O31&lt;&gt;"OK",P31&lt;&gt;"OK",Q31&lt;&gt;"OK"),"Review","Complete"))</f>
        <v/>
      </c>
      <c r="S31" s="14" t="str">
        <f>IF('Start Here'!$B$8="Paste Import",'Paste Import'!J31,'Manual Input'!J31)</f>
        <v/>
      </c>
    </row>
    <row r="32" spans="1:19" x14ac:dyDescent="0.25">
      <c r="A32" s="14" t="str">
        <f>IF('Start Here'!$B$8="Paste Import",'Paste Import'!A32,'Manual Input'!A32)</f>
        <v/>
      </c>
      <c r="B32" s="14" t="str">
        <f>IF('Start Here'!$B$8="Paste Import",'Paste Import'!B32,'Manual Input'!B32)</f>
        <v/>
      </c>
      <c r="C32" s="14" t="str">
        <f>IF('Start Here'!$B$8="Paste Import",'Paste Import'!C32,'Manual Input'!C32)</f>
        <v/>
      </c>
      <c r="D32" s="15" t="str">
        <f>IF('Start Here'!$B$8="Paste Import",'Paste Import'!D32,'Manual Input'!D32)</f>
        <v/>
      </c>
      <c r="E32" s="15" t="str">
        <f>IF('Start Here'!$B$8="Paste Import",'Paste Import'!E32,'Manual Input'!E32)</f>
        <v/>
      </c>
      <c r="F32" s="15" t="str">
        <f>IF('Start Here'!$B$8="Paste Import",'Paste Import'!F32,'Manual Input'!F32)</f>
        <v/>
      </c>
      <c r="G32" s="15" t="str">
        <f>IF('Start Here'!$B$8="Paste Import",'Paste Import'!G32,'Manual Input'!G32)</f>
        <v/>
      </c>
      <c r="H32" s="15" t="str">
        <f>IF(B32="","",D32-E32)</f>
        <v/>
      </c>
      <c r="I32" s="15" t="str">
        <f>IF(B32="","",F32-G32)</f>
        <v/>
      </c>
      <c r="J32" s="15" t="str">
        <f>IF(B32="","",H32-I32)</f>
        <v/>
      </c>
      <c r="K32" s="16" t="str">
        <f>IF(B32="","",IF(I32=0,IF(H32=0,"","New"),J32/ABS(I32)))</f>
        <v/>
      </c>
      <c r="L32" s="14" t="str">
        <f>IF('Start Here'!$B$8="Paste Import",'Paste Import'!H32,'Manual Input'!H32)</f>
        <v/>
      </c>
      <c r="M32" s="15" t="str">
        <f>IF('Start Here'!$B$8="Paste Import",'Paste Import'!I32,'Manual Input'!I32)</f>
        <v/>
      </c>
      <c r="N32" s="15" t="str">
        <f>IF(B32="","",H32+M32)</f>
        <v/>
      </c>
      <c r="O32" s="14" t="str">
        <f>IF(B32="","",IF(OR(C32="",L32=""),"Unmapped","OK"))</f>
        <v/>
      </c>
      <c r="P32" s="14" t="str">
        <f>IF(B32="","",IF(OR(AND(OR(C32="Asset",C32="Expense"),H32&lt;0),AND(OR(C32="Liability",C32="Equity",C32="Revenue"),H32&gt;0)),"Unusual","OK"))</f>
        <v/>
      </c>
      <c r="Q32" s="14" t="str">
        <f>IF(B32="","",IF(AND(ABS(J32)&gt;='Start Here'!$B$10,IFERROR(ABS(K32)&gt;='Start Here'!$B$11,TRUE)),"Review","OK"))</f>
        <v/>
      </c>
      <c r="R32" s="14" t="str">
        <f>IF(B32="","",IF(OR(O32&lt;&gt;"OK",P32&lt;&gt;"OK",Q32&lt;&gt;"OK"),"Review","Complete"))</f>
        <v/>
      </c>
      <c r="S32" s="14" t="str">
        <f>IF('Start Here'!$B$8="Paste Import",'Paste Import'!J32,'Manual Input'!J32)</f>
        <v/>
      </c>
    </row>
    <row r="33" spans="1:19" x14ac:dyDescent="0.25">
      <c r="A33" s="14" t="str">
        <f>IF('Start Here'!$B$8="Paste Import",'Paste Import'!A33,'Manual Input'!A33)</f>
        <v/>
      </c>
      <c r="B33" s="14" t="str">
        <f>IF('Start Here'!$B$8="Paste Import",'Paste Import'!B33,'Manual Input'!B33)</f>
        <v/>
      </c>
      <c r="C33" s="14" t="str">
        <f>IF('Start Here'!$B$8="Paste Import",'Paste Import'!C33,'Manual Input'!C33)</f>
        <v/>
      </c>
      <c r="D33" s="15" t="str">
        <f>IF('Start Here'!$B$8="Paste Import",'Paste Import'!D33,'Manual Input'!D33)</f>
        <v/>
      </c>
      <c r="E33" s="15" t="str">
        <f>IF('Start Here'!$B$8="Paste Import",'Paste Import'!E33,'Manual Input'!E33)</f>
        <v/>
      </c>
      <c r="F33" s="15" t="str">
        <f>IF('Start Here'!$B$8="Paste Import",'Paste Import'!F33,'Manual Input'!F33)</f>
        <v/>
      </c>
      <c r="G33" s="15" t="str">
        <f>IF('Start Here'!$B$8="Paste Import",'Paste Import'!G33,'Manual Input'!G33)</f>
        <v/>
      </c>
      <c r="H33" s="15" t="str">
        <f>IF(B33="","",D33-E33)</f>
        <v/>
      </c>
      <c r="I33" s="15" t="str">
        <f>IF(B33="","",F33-G33)</f>
        <v/>
      </c>
      <c r="J33" s="15" t="str">
        <f>IF(B33="","",H33-I33)</f>
        <v/>
      </c>
      <c r="K33" s="16" t="str">
        <f>IF(B33="","",IF(I33=0,IF(H33=0,"","New"),J33/ABS(I33)))</f>
        <v/>
      </c>
      <c r="L33" s="14" t="str">
        <f>IF('Start Here'!$B$8="Paste Import",'Paste Import'!H33,'Manual Input'!H33)</f>
        <v/>
      </c>
      <c r="M33" s="15" t="str">
        <f>IF('Start Here'!$B$8="Paste Import",'Paste Import'!I33,'Manual Input'!I33)</f>
        <v/>
      </c>
      <c r="N33" s="15" t="str">
        <f>IF(B33="","",H33+M33)</f>
        <v/>
      </c>
      <c r="O33" s="14" t="str">
        <f>IF(B33="","",IF(OR(C33="",L33=""),"Unmapped","OK"))</f>
        <v/>
      </c>
      <c r="P33" s="14" t="str">
        <f>IF(B33="","",IF(OR(AND(OR(C33="Asset",C33="Expense"),H33&lt;0),AND(OR(C33="Liability",C33="Equity",C33="Revenue"),H33&gt;0)),"Unusual","OK"))</f>
        <v/>
      </c>
      <c r="Q33" s="14" t="str">
        <f>IF(B33="","",IF(AND(ABS(J33)&gt;='Start Here'!$B$10,IFERROR(ABS(K33)&gt;='Start Here'!$B$11,TRUE)),"Review","OK"))</f>
        <v/>
      </c>
      <c r="R33" s="14" t="str">
        <f>IF(B33="","",IF(OR(O33&lt;&gt;"OK",P33&lt;&gt;"OK",Q33&lt;&gt;"OK"),"Review","Complete"))</f>
        <v/>
      </c>
      <c r="S33" s="14" t="str">
        <f>IF('Start Here'!$B$8="Paste Import",'Paste Import'!J33,'Manual Input'!J33)</f>
        <v/>
      </c>
    </row>
    <row r="34" spans="1:19" x14ac:dyDescent="0.25">
      <c r="A34" s="14" t="str">
        <f>IF('Start Here'!$B$8="Paste Import",'Paste Import'!A34,'Manual Input'!A34)</f>
        <v/>
      </c>
      <c r="B34" s="14" t="str">
        <f>IF('Start Here'!$B$8="Paste Import",'Paste Import'!B34,'Manual Input'!B34)</f>
        <v/>
      </c>
      <c r="C34" s="14" t="str">
        <f>IF('Start Here'!$B$8="Paste Import",'Paste Import'!C34,'Manual Input'!C34)</f>
        <v/>
      </c>
      <c r="D34" s="15" t="str">
        <f>IF('Start Here'!$B$8="Paste Import",'Paste Import'!D34,'Manual Input'!D34)</f>
        <v/>
      </c>
      <c r="E34" s="15" t="str">
        <f>IF('Start Here'!$B$8="Paste Import",'Paste Import'!E34,'Manual Input'!E34)</f>
        <v/>
      </c>
      <c r="F34" s="15" t="str">
        <f>IF('Start Here'!$B$8="Paste Import",'Paste Import'!F34,'Manual Input'!F34)</f>
        <v/>
      </c>
      <c r="G34" s="15" t="str">
        <f>IF('Start Here'!$B$8="Paste Import",'Paste Import'!G34,'Manual Input'!G34)</f>
        <v/>
      </c>
      <c r="H34" s="15" t="str">
        <f>IF(B34="","",D34-E34)</f>
        <v/>
      </c>
      <c r="I34" s="15" t="str">
        <f>IF(B34="","",F34-G34)</f>
        <v/>
      </c>
      <c r="J34" s="15" t="str">
        <f>IF(B34="","",H34-I34)</f>
        <v/>
      </c>
      <c r="K34" s="16" t="str">
        <f>IF(B34="","",IF(I34=0,IF(H34=0,"","New"),J34/ABS(I34)))</f>
        <v/>
      </c>
      <c r="L34" s="14" t="str">
        <f>IF('Start Here'!$B$8="Paste Import",'Paste Import'!H34,'Manual Input'!H34)</f>
        <v/>
      </c>
      <c r="M34" s="15" t="str">
        <f>IF('Start Here'!$B$8="Paste Import",'Paste Import'!I34,'Manual Input'!I34)</f>
        <v/>
      </c>
      <c r="N34" s="15" t="str">
        <f>IF(B34="","",H34+M34)</f>
        <v/>
      </c>
      <c r="O34" s="14" t="str">
        <f>IF(B34="","",IF(OR(C34="",L34=""),"Unmapped","OK"))</f>
        <v/>
      </c>
      <c r="P34" s="14" t="str">
        <f>IF(B34="","",IF(OR(AND(OR(C34="Asset",C34="Expense"),H34&lt;0),AND(OR(C34="Liability",C34="Equity",C34="Revenue"),H34&gt;0)),"Unusual","OK"))</f>
        <v/>
      </c>
      <c r="Q34" s="14" t="str">
        <f>IF(B34="","",IF(AND(ABS(J34)&gt;='Start Here'!$B$10,IFERROR(ABS(K34)&gt;='Start Here'!$B$11,TRUE)),"Review","OK"))</f>
        <v/>
      </c>
      <c r="R34" s="14" t="str">
        <f>IF(B34="","",IF(OR(O34&lt;&gt;"OK",P34&lt;&gt;"OK",Q34&lt;&gt;"OK"),"Review","Complete"))</f>
        <v/>
      </c>
      <c r="S34" s="14" t="str">
        <f>IF('Start Here'!$B$8="Paste Import",'Paste Import'!J34,'Manual Input'!J34)</f>
        <v/>
      </c>
    </row>
    <row r="35" spans="1:19" x14ac:dyDescent="0.25">
      <c r="A35" s="14" t="str">
        <f>IF('Start Here'!$B$8="Paste Import",'Paste Import'!A35,'Manual Input'!A35)</f>
        <v/>
      </c>
      <c r="B35" s="14" t="str">
        <f>IF('Start Here'!$B$8="Paste Import",'Paste Import'!B35,'Manual Input'!B35)</f>
        <v/>
      </c>
      <c r="C35" s="14" t="str">
        <f>IF('Start Here'!$B$8="Paste Import",'Paste Import'!C35,'Manual Input'!C35)</f>
        <v/>
      </c>
      <c r="D35" s="15" t="str">
        <f>IF('Start Here'!$B$8="Paste Import",'Paste Import'!D35,'Manual Input'!D35)</f>
        <v/>
      </c>
      <c r="E35" s="15" t="str">
        <f>IF('Start Here'!$B$8="Paste Import",'Paste Import'!E35,'Manual Input'!E35)</f>
        <v/>
      </c>
      <c r="F35" s="15" t="str">
        <f>IF('Start Here'!$B$8="Paste Import",'Paste Import'!F35,'Manual Input'!F35)</f>
        <v/>
      </c>
      <c r="G35" s="15" t="str">
        <f>IF('Start Here'!$B$8="Paste Import",'Paste Import'!G35,'Manual Input'!G35)</f>
        <v/>
      </c>
      <c r="H35" s="15" t="str">
        <f>IF(B35="","",D35-E35)</f>
        <v/>
      </c>
      <c r="I35" s="15" t="str">
        <f>IF(B35="","",F35-G35)</f>
        <v/>
      </c>
      <c r="J35" s="15" t="str">
        <f>IF(B35="","",H35-I35)</f>
        <v/>
      </c>
      <c r="K35" s="16" t="str">
        <f>IF(B35="","",IF(I35=0,IF(H35=0,"","New"),J35/ABS(I35)))</f>
        <v/>
      </c>
      <c r="L35" s="14" t="str">
        <f>IF('Start Here'!$B$8="Paste Import",'Paste Import'!H35,'Manual Input'!H35)</f>
        <v/>
      </c>
      <c r="M35" s="15" t="str">
        <f>IF('Start Here'!$B$8="Paste Import",'Paste Import'!I35,'Manual Input'!I35)</f>
        <v/>
      </c>
      <c r="N35" s="15" t="str">
        <f>IF(B35="","",H35+M35)</f>
        <v/>
      </c>
      <c r="O35" s="14" t="str">
        <f>IF(B35="","",IF(OR(C35="",L35=""),"Unmapped","OK"))</f>
        <v/>
      </c>
      <c r="P35" s="14" t="str">
        <f>IF(B35="","",IF(OR(AND(OR(C35="Asset",C35="Expense"),H35&lt;0),AND(OR(C35="Liability",C35="Equity",C35="Revenue"),H35&gt;0)),"Unusual","OK"))</f>
        <v/>
      </c>
      <c r="Q35" s="14" t="str">
        <f>IF(B35="","",IF(AND(ABS(J35)&gt;='Start Here'!$B$10,IFERROR(ABS(K35)&gt;='Start Here'!$B$11,TRUE)),"Review","OK"))</f>
        <v/>
      </c>
      <c r="R35" s="14" t="str">
        <f>IF(B35="","",IF(OR(O35&lt;&gt;"OK",P35&lt;&gt;"OK",Q35&lt;&gt;"OK"),"Review","Complete"))</f>
        <v/>
      </c>
      <c r="S35" s="14" t="str">
        <f>IF('Start Here'!$B$8="Paste Import",'Paste Import'!J35,'Manual Input'!J35)</f>
        <v/>
      </c>
    </row>
    <row r="36" spans="1:19" x14ac:dyDescent="0.25">
      <c r="A36" s="14" t="str">
        <f>IF('Start Here'!$B$8="Paste Import",'Paste Import'!A36,'Manual Input'!A36)</f>
        <v/>
      </c>
      <c r="B36" s="14" t="str">
        <f>IF('Start Here'!$B$8="Paste Import",'Paste Import'!B36,'Manual Input'!B36)</f>
        <v/>
      </c>
      <c r="C36" s="14" t="str">
        <f>IF('Start Here'!$B$8="Paste Import",'Paste Import'!C36,'Manual Input'!C36)</f>
        <v/>
      </c>
      <c r="D36" s="15" t="str">
        <f>IF('Start Here'!$B$8="Paste Import",'Paste Import'!D36,'Manual Input'!D36)</f>
        <v/>
      </c>
      <c r="E36" s="15" t="str">
        <f>IF('Start Here'!$B$8="Paste Import",'Paste Import'!E36,'Manual Input'!E36)</f>
        <v/>
      </c>
      <c r="F36" s="15" t="str">
        <f>IF('Start Here'!$B$8="Paste Import",'Paste Import'!F36,'Manual Input'!F36)</f>
        <v/>
      </c>
      <c r="G36" s="15" t="str">
        <f>IF('Start Here'!$B$8="Paste Import",'Paste Import'!G36,'Manual Input'!G36)</f>
        <v/>
      </c>
      <c r="H36" s="15" t="str">
        <f>IF(B36="","",D36-E36)</f>
        <v/>
      </c>
      <c r="I36" s="15" t="str">
        <f>IF(B36="","",F36-G36)</f>
        <v/>
      </c>
      <c r="J36" s="15" t="str">
        <f>IF(B36="","",H36-I36)</f>
        <v/>
      </c>
      <c r="K36" s="16" t="str">
        <f>IF(B36="","",IF(I36=0,IF(H36=0,"","New"),J36/ABS(I36)))</f>
        <v/>
      </c>
      <c r="L36" s="14" t="str">
        <f>IF('Start Here'!$B$8="Paste Import",'Paste Import'!H36,'Manual Input'!H36)</f>
        <v/>
      </c>
      <c r="M36" s="15" t="str">
        <f>IF('Start Here'!$B$8="Paste Import",'Paste Import'!I36,'Manual Input'!I36)</f>
        <v/>
      </c>
      <c r="N36" s="15" t="str">
        <f>IF(B36="","",H36+M36)</f>
        <v/>
      </c>
      <c r="O36" s="14" t="str">
        <f>IF(B36="","",IF(OR(C36="",L36=""),"Unmapped","OK"))</f>
        <v/>
      </c>
      <c r="P36" s="14" t="str">
        <f>IF(B36="","",IF(OR(AND(OR(C36="Asset",C36="Expense"),H36&lt;0),AND(OR(C36="Liability",C36="Equity",C36="Revenue"),H36&gt;0)),"Unusual","OK"))</f>
        <v/>
      </c>
      <c r="Q36" s="14" t="str">
        <f>IF(B36="","",IF(AND(ABS(J36)&gt;='Start Here'!$B$10,IFERROR(ABS(K36)&gt;='Start Here'!$B$11,TRUE)),"Review","OK"))</f>
        <v/>
      </c>
      <c r="R36" s="14" t="str">
        <f>IF(B36="","",IF(OR(O36&lt;&gt;"OK",P36&lt;&gt;"OK",Q36&lt;&gt;"OK"),"Review","Complete"))</f>
        <v/>
      </c>
      <c r="S36" s="14" t="str">
        <f>IF('Start Here'!$B$8="Paste Import",'Paste Import'!J36,'Manual Input'!J36)</f>
        <v/>
      </c>
    </row>
    <row r="37" spans="1:19" x14ac:dyDescent="0.25">
      <c r="A37" s="14" t="str">
        <f>IF('Start Here'!$B$8="Paste Import",'Paste Import'!A37,'Manual Input'!A37)</f>
        <v/>
      </c>
      <c r="B37" s="14" t="str">
        <f>IF('Start Here'!$B$8="Paste Import",'Paste Import'!B37,'Manual Input'!B37)</f>
        <v/>
      </c>
      <c r="C37" s="14" t="str">
        <f>IF('Start Here'!$B$8="Paste Import",'Paste Import'!C37,'Manual Input'!C37)</f>
        <v/>
      </c>
      <c r="D37" s="15" t="str">
        <f>IF('Start Here'!$B$8="Paste Import",'Paste Import'!D37,'Manual Input'!D37)</f>
        <v/>
      </c>
      <c r="E37" s="15" t="str">
        <f>IF('Start Here'!$B$8="Paste Import",'Paste Import'!E37,'Manual Input'!E37)</f>
        <v/>
      </c>
      <c r="F37" s="15" t="str">
        <f>IF('Start Here'!$B$8="Paste Import",'Paste Import'!F37,'Manual Input'!F37)</f>
        <v/>
      </c>
      <c r="G37" s="15" t="str">
        <f>IF('Start Here'!$B$8="Paste Import",'Paste Import'!G37,'Manual Input'!G37)</f>
        <v/>
      </c>
      <c r="H37" s="15" t="str">
        <f>IF(B37="","",D37-E37)</f>
        <v/>
      </c>
      <c r="I37" s="15" t="str">
        <f>IF(B37="","",F37-G37)</f>
        <v/>
      </c>
      <c r="J37" s="15" t="str">
        <f>IF(B37="","",H37-I37)</f>
        <v/>
      </c>
      <c r="K37" s="16" t="str">
        <f>IF(B37="","",IF(I37=0,IF(H37=0,"","New"),J37/ABS(I37)))</f>
        <v/>
      </c>
      <c r="L37" s="14" t="str">
        <f>IF('Start Here'!$B$8="Paste Import",'Paste Import'!H37,'Manual Input'!H37)</f>
        <v/>
      </c>
      <c r="M37" s="15" t="str">
        <f>IF('Start Here'!$B$8="Paste Import",'Paste Import'!I37,'Manual Input'!I37)</f>
        <v/>
      </c>
      <c r="N37" s="15" t="str">
        <f>IF(B37="","",H37+M37)</f>
        <v/>
      </c>
      <c r="O37" s="14" t="str">
        <f>IF(B37="","",IF(OR(C37="",L37=""),"Unmapped","OK"))</f>
        <v/>
      </c>
      <c r="P37" s="14" t="str">
        <f>IF(B37="","",IF(OR(AND(OR(C37="Asset",C37="Expense"),H37&lt;0),AND(OR(C37="Liability",C37="Equity",C37="Revenue"),H37&gt;0)),"Unusual","OK"))</f>
        <v/>
      </c>
      <c r="Q37" s="14" t="str">
        <f>IF(B37="","",IF(AND(ABS(J37)&gt;='Start Here'!$B$10,IFERROR(ABS(K37)&gt;='Start Here'!$B$11,TRUE)),"Review","OK"))</f>
        <v/>
      </c>
      <c r="R37" s="14" t="str">
        <f>IF(B37="","",IF(OR(O37&lt;&gt;"OK",P37&lt;&gt;"OK",Q37&lt;&gt;"OK"),"Review","Complete"))</f>
        <v/>
      </c>
      <c r="S37" s="14" t="str">
        <f>IF('Start Here'!$B$8="Paste Import",'Paste Import'!J37,'Manual Input'!J37)</f>
        <v/>
      </c>
    </row>
    <row r="38" spans="1:19" x14ac:dyDescent="0.25">
      <c r="A38" s="14" t="str">
        <f>IF('Start Here'!$B$8="Paste Import",'Paste Import'!A38,'Manual Input'!A38)</f>
        <v/>
      </c>
      <c r="B38" s="14" t="str">
        <f>IF('Start Here'!$B$8="Paste Import",'Paste Import'!B38,'Manual Input'!B38)</f>
        <v/>
      </c>
      <c r="C38" s="14" t="str">
        <f>IF('Start Here'!$B$8="Paste Import",'Paste Import'!C38,'Manual Input'!C38)</f>
        <v/>
      </c>
      <c r="D38" s="15" t="str">
        <f>IF('Start Here'!$B$8="Paste Import",'Paste Import'!D38,'Manual Input'!D38)</f>
        <v/>
      </c>
      <c r="E38" s="15" t="str">
        <f>IF('Start Here'!$B$8="Paste Import",'Paste Import'!E38,'Manual Input'!E38)</f>
        <v/>
      </c>
      <c r="F38" s="15" t="str">
        <f>IF('Start Here'!$B$8="Paste Import",'Paste Import'!F38,'Manual Input'!F38)</f>
        <v/>
      </c>
      <c r="G38" s="15" t="str">
        <f>IF('Start Here'!$B$8="Paste Import",'Paste Import'!G38,'Manual Input'!G38)</f>
        <v/>
      </c>
      <c r="H38" s="15" t="str">
        <f>IF(B38="","",D38-E38)</f>
        <v/>
      </c>
      <c r="I38" s="15" t="str">
        <f>IF(B38="","",F38-G38)</f>
        <v/>
      </c>
      <c r="J38" s="15" t="str">
        <f>IF(B38="","",H38-I38)</f>
        <v/>
      </c>
      <c r="K38" s="16" t="str">
        <f>IF(B38="","",IF(I38=0,IF(H38=0,"","New"),J38/ABS(I38)))</f>
        <v/>
      </c>
      <c r="L38" s="14" t="str">
        <f>IF('Start Here'!$B$8="Paste Import",'Paste Import'!H38,'Manual Input'!H38)</f>
        <v/>
      </c>
      <c r="M38" s="15" t="str">
        <f>IF('Start Here'!$B$8="Paste Import",'Paste Import'!I38,'Manual Input'!I38)</f>
        <v/>
      </c>
      <c r="N38" s="15" t="str">
        <f>IF(B38="","",H38+M38)</f>
        <v/>
      </c>
      <c r="O38" s="14" t="str">
        <f>IF(B38="","",IF(OR(C38="",L38=""),"Unmapped","OK"))</f>
        <v/>
      </c>
      <c r="P38" s="14" t="str">
        <f>IF(B38="","",IF(OR(AND(OR(C38="Asset",C38="Expense"),H38&lt;0),AND(OR(C38="Liability",C38="Equity",C38="Revenue"),H38&gt;0)),"Unusual","OK"))</f>
        <v/>
      </c>
      <c r="Q38" s="14" t="str">
        <f>IF(B38="","",IF(AND(ABS(J38)&gt;='Start Here'!$B$10,IFERROR(ABS(K38)&gt;='Start Here'!$B$11,TRUE)),"Review","OK"))</f>
        <v/>
      </c>
      <c r="R38" s="14" t="str">
        <f>IF(B38="","",IF(OR(O38&lt;&gt;"OK",P38&lt;&gt;"OK",Q38&lt;&gt;"OK"),"Review","Complete"))</f>
        <v/>
      </c>
      <c r="S38" s="14" t="str">
        <f>IF('Start Here'!$B$8="Paste Import",'Paste Import'!J38,'Manual Input'!J38)</f>
        <v/>
      </c>
    </row>
    <row r="39" spans="1:19" x14ac:dyDescent="0.25">
      <c r="A39" s="14" t="str">
        <f>IF('Start Here'!$B$8="Paste Import",'Paste Import'!A39,'Manual Input'!A39)</f>
        <v/>
      </c>
      <c r="B39" s="14" t="str">
        <f>IF('Start Here'!$B$8="Paste Import",'Paste Import'!B39,'Manual Input'!B39)</f>
        <v/>
      </c>
      <c r="C39" s="14" t="str">
        <f>IF('Start Here'!$B$8="Paste Import",'Paste Import'!C39,'Manual Input'!C39)</f>
        <v/>
      </c>
      <c r="D39" s="15" t="str">
        <f>IF('Start Here'!$B$8="Paste Import",'Paste Import'!D39,'Manual Input'!D39)</f>
        <v/>
      </c>
      <c r="E39" s="15" t="str">
        <f>IF('Start Here'!$B$8="Paste Import",'Paste Import'!E39,'Manual Input'!E39)</f>
        <v/>
      </c>
      <c r="F39" s="15" t="str">
        <f>IF('Start Here'!$B$8="Paste Import",'Paste Import'!F39,'Manual Input'!F39)</f>
        <v/>
      </c>
      <c r="G39" s="15" t="str">
        <f>IF('Start Here'!$B$8="Paste Import",'Paste Import'!G39,'Manual Input'!G39)</f>
        <v/>
      </c>
      <c r="H39" s="15" t="str">
        <f>IF(B39="","",D39-E39)</f>
        <v/>
      </c>
      <c r="I39" s="15" t="str">
        <f>IF(B39="","",F39-G39)</f>
        <v/>
      </c>
      <c r="J39" s="15" t="str">
        <f>IF(B39="","",H39-I39)</f>
        <v/>
      </c>
      <c r="K39" s="16" t="str">
        <f>IF(B39="","",IF(I39=0,IF(H39=0,"","New"),J39/ABS(I39)))</f>
        <v/>
      </c>
      <c r="L39" s="14" t="str">
        <f>IF('Start Here'!$B$8="Paste Import",'Paste Import'!H39,'Manual Input'!H39)</f>
        <v/>
      </c>
      <c r="M39" s="15" t="str">
        <f>IF('Start Here'!$B$8="Paste Import",'Paste Import'!I39,'Manual Input'!I39)</f>
        <v/>
      </c>
      <c r="N39" s="15" t="str">
        <f>IF(B39="","",H39+M39)</f>
        <v/>
      </c>
      <c r="O39" s="14" t="str">
        <f>IF(B39="","",IF(OR(C39="",L39=""),"Unmapped","OK"))</f>
        <v/>
      </c>
      <c r="P39" s="14" t="str">
        <f>IF(B39="","",IF(OR(AND(OR(C39="Asset",C39="Expense"),H39&lt;0),AND(OR(C39="Liability",C39="Equity",C39="Revenue"),H39&gt;0)),"Unusual","OK"))</f>
        <v/>
      </c>
      <c r="Q39" s="14" t="str">
        <f>IF(B39="","",IF(AND(ABS(J39)&gt;='Start Here'!$B$10,IFERROR(ABS(K39)&gt;='Start Here'!$B$11,TRUE)),"Review","OK"))</f>
        <v/>
      </c>
      <c r="R39" s="14" t="str">
        <f>IF(B39="","",IF(OR(O39&lt;&gt;"OK",P39&lt;&gt;"OK",Q39&lt;&gt;"OK"),"Review","Complete"))</f>
        <v/>
      </c>
      <c r="S39" s="14" t="str">
        <f>IF('Start Here'!$B$8="Paste Import",'Paste Import'!J39,'Manual Input'!J39)</f>
        <v/>
      </c>
    </row>
    <row r="40" spans="1:19" x14ac:dyDescent="0.25">
      <c r="A40" s="14" t="str">
        <f>IF('Start Here'!$B$8="Paste Import",'Paste Import'!A40,'Manual Input'!A40)</f>
        <v/>
      </c>
      <c r="B40" s="14" t="str">
        <f>IF('Start Here'!$B$8="Paste Import",'Paste Import'!B40,'Manual Input'!B40)</f>
        <v/>
      </c>
      <c r="C40" s="14" t="str">
        <f>IF('Start Here'!$B$8="Paste Import",'Paste Import'!C40,'Manual Input'!C40)</f>
        <v/>
      </c>
      <c r="D40" s="15" t="str">
        <f>IF('Start Here'!$B$8="Paste Import",'Paste Import'!D40,'Manual Input'!D40)</f>
        <v/>
      </c>
      <c r="E40" s="15" t="str">
        <f>IF('Start Here'!$B$8="Paste Import",'Paste Import'!E40,'Manual Input'!E40)</f>
        <v/>
      </c>
      <c r="F40" s="15" t="str">
        <f>IF('Start Here'!$B$8="Paste Import",'Paste Import'!F40,'Manual Input'!F40)</f>
        <v/>
      </c>
      <c r="G40" s="15" t="str">
        <f>IF('Start Here'!$B$8="Paste Import",'Paste Import'!G40,'Manual Input'!G40)</f>
        <v/>
      </c>
      <c r="H40" s="15" t="str">
        <f>IF(B40="","",D40-E40)</f>
        <v/>
      </c>
      <c r="I40" s="15" t="str">
        <f>IF(B40="","",F40-G40)</f>
        <v/>
      </c>
      <c r="J40" s="15" t="str">
        <f>IF(B40="","",H40-I40)</f>
        <v/>
      </c>
      <c r="K40" s="16" t="str">
        <f>IF(B40="","",IF(I40=0,IF(H40=0,"","New"),J40/ABS(I40)))</f>
        <v/>
      </c>
      <c r="L40" s="14" t="str">
        <f>IF('Start Here'!$B$8="Paste Import",'Paste Import'!H40,'Manual Input'!H40)</f>
        <v/>
      </c>
      <c r="M40" s="15" t="str">
        <f>IF('Start Here'!$B$8="Paste Import",'Paste Import'!I40,'Manual Input'!I40)</f>
        <v/>
      </c>
      <c r="N40" s="15" t="str">
        <f>IF(B40="","",H40+M40)</f>
        <v/>
      </c>
      <c r="O40" s="14" t="str">
        <f>IF(B40="","",IF(OR(C40="",L40=""),"Unmapped","OK"))</f>
        <v/>
      </c>
      <c r="P40" s="14" t="str">
        <f>IF(B40="","",IF(OR(AND(OR(C40="Asset",C40="Expense"),H40&lt;0),AND(OR(C40="Liability",C40="Equity",C40="Revenue"),H40&gt;0)),"Unusual","OK"))</f>
        <v/>
      </c>
      <c r="Q40" s="14" t="str">
        <f>IF(B40="","",IF(AND(ABS(J40)&gt;='Start Here'!$B$10,IFERROR(ABS(K40)&gt;='Start Here'!$B$11,TRUE)),"Review","OK"))</f>
        <v/>
      </c>
      <c r="R40" s="14" t="str">
        <f>IF(B40="","",IF(OR(O40&lt;&gt;"OK",P40&lt;&gt;"OK",Q40&lt;&gt;"OK"),"Review","Complete"))</f>
        <v/>
      </c>
      <c r="S40" s="14" t="str">
        <f>IF('Start Here'!$B$8="Paste Import",'Paste Import'!J40,'Manual Input'!J40)</f>
        <v/>
      </c>
    </row>
    <row r="41" spans="1:19" x14ac:dyDescent="0.25">
      <c r="A41" s="14" t="str">
        <f>IF('Start Here'!$B$8="Paste Import",'Paste Import'!A41,'Manual Input'!A41)</f>
        <v/>
      </c>
      <c r="B41" s="14" t="str">
        <f>IF('Start Here'!$B$8="Paste Import",'Paste Import'!B41,'Manual Input'!B41)</f>
        <v/>
      </c>
      <c r="C41" s="14" t="str">
        <f>IF('Start Here'!$B$8="Paste Import",'Paste Import'!C41,'Manual Input'!C41)</f>
        <v/>
      </c>
      <c r="D41" s="15" t="str">
        <f>IF('Start Here'!$B$8="Paste Import",'Paste Import'!D41,'Manual Input'!D41)</f>
        <v/>
      </c>
      <c r="E41" s="15" t="str">
        <f>IF('Start Here'!$B$8="Paste Import",'Paste Import'!E41,'Manual Input'!E41)</f>
        <v/>
      </c>
      <c r="F41" s="15" t="str">
        <f>IF('Start Here'!$B$8="Paste Import",'Paste Import'!F41,'Manual Input'!F41)</f>
        <v/>
      </c>
      <c r="G41" s="15" t="str">
        <f>IF('Start Here'!$B$8="Paste Import",'Paste Import'!G41,'Manual Input'!G41)</f>
        <v/>
      </c>
      <c r="H41" s="15" t="str">
        <f>IF(B41="","",D41-E41)</f>
        <v/>
      </c>
      <c r="I41" s="15" t="str">
        <f>IF(B41="","",F41-G41)</f>
        <v/>
      </c>
      <c r="J41" s="15" t="str">
        <f>IF(B41="","",H41-I41)</f>
        <v/>
      </c>
      <c r="K41" s="16" t="str">
        <f>IF(B41="","",IF(I41=0,IF(H41=0,"","New"),J41/ABS(I41)))</f>
        <v/>
      </c>
      <c r="L41" s="14" t="str">
        <f>IF('Start Here'!$B$8="Paste Import",'Paste Import'!H41,'Manual Input'!H41)</f>
        <v/>
      </c>
      <c r="M41" s="15" t="str">
        <f>IF('Start Here'!$B$8="Paste Import",'Paste Import'!I41,'Manual Input'!I41)</f>
        <v/>
      </c>
      <c r="N41" s="15" t="str">
        <f>IF(B41="","",H41+M41)</f>
        <v/>
      </c>
      <c r="O41" s="14" t="str">
        <f>IF(B41="","",IF(OR(C41="",L41=""),"Unmapped","OK"))</f>
        <v/>
      </c>
      <c r="P41" s="14" t="str">
        <f>IF(B41="","",IF(OR(AND(OR(C41="Asset",C41="Expense"),H41&lt;0),AND(OR(C41="Liability",C41="Equity",C41="Revenue"),H41&gt;0)),"Unusual","OK"))</f>
        <v/>
      </c>
      <c r="Q41" s="14" t="str">
        <f>IF(B41="","",IF(AND(ABS(J41)&gt;='Start Here'!$B$10,IFERROR(ABS(K41)&gt;='Start Here'!$B$11,TRUE)),"Review","OK"))</f>
        <v/>
      </c>
      <c r="R41" s="14" t="str">
        <f>IF(B41="","",IF(OR(O41&lt;&gt;"OK",P41&lt;&gt;"OK",Q41&lt;&gt;"OK"),"Review","Complete"))</f>
        <v/>
      </c>
      <c r="S41" s="14" t="str">
        <f>IF('Start Here'!$B$8="Paste Import",'Paste Import'!J41,'Manual Input'!J41)</f>
        <v/>
      </c>
    </row>
    <row r="42" spans="1:19" x14ac:dyDescent="0.25">
      <c r="A42" s="14" t="str">
        <f>IF('Start Here'!$B$8="Paste Import",'Paste Import'!A42,'Manual Input'!A42)</f>
        <v/>
      </c>
      <c r="B42" s="14" t="str">
        <f>IF('Start Here'!$B$8="Paste Import",'Paste Import'!B42,'Manual Input'!B42)</f>
        <v/>
      </c>
      <c r="C42" s="14" t="str">
        <f>IF('Start Here'!$B$8="Paste Import",'Paste Import'!C42,'Manual Input'!C42)</f>
        <v/>
      </c>
      <c r="D42" s="15" t="str">
        <f>IF('Start Here'!$B$8="Paste Import",'Paste Import'!D42,'Manual Input'!D42)</f>
        <v/>
      </c>
      <c r="E42" s="15" t="str">
        <f>IF('Start Here'!$B$8="Paste Import",'Paste Import'!E42,'Manual Input'!E42)</f>
        <v/>
      </c>
      <c r="F42" s="15" t="str">
        <f>IF('Start Here'!$B$8="Paste Import",'Paste Import'!F42,'Manual Input'!F42)</f>
        <v/>
      </c>
      <c r="G42" s="15" t="str">
        <f>IF('Start Here'!$B$8="Paste Import",'Paste Import'!G42,'Manual Input'!G42)</f>
        <v/>
      </c>
      <c r="H42" s="15" t="str">
        <f>IF(B42="","",D42-E42)</f>
        <v/>
      </c>
      <c r="I42" s="15" t="str">
        <f>IF(B42="","",F42-G42)</f>
        <v/>
      </c>
      <c r="J42" s="15" t="str">
        <f>IF(B42="","",H42-I42)</f>
        <v/>
      </c>
      <c r="K42" s="16" t="str">
        <f>IF(B42="","",IF(I42=0,IF(H42=0,"","New"),J42/ABS(I42)))</f>
        <v/>
      </c>
      <c r="L42" s="14" t="str">
        <f>IF('Start Here'!$B$8="Paste Import",'Paste Import'!H42,'Manual Input'!H42)</f>
        <v/>
      </c>
      <c r="M42" s="15" t="str">
        <f>IF('Start Here'!$B$8="Paste Import",'Paste Import'!I42,'Manual Input'!I42)</f>
        <v/>
      </c>
      <c r="N42" s="15" t="str">
        <f>IF(B42="","",H42+M42)</f>
        <v/>
      </c>
      <c r="O42" s="14" t="str">
        <f>IF(B42="","",IF(OR(C42="",L42=""),"Unmapped","OK"))</f>
        <v/>
      </c>
      <c r="P42" s="14" t="str">
        <f>IF(B42="","",IF(OR(AND(OR(C42="Asset",C42="Expense"),H42&lt;0),AND(OR(C42="Liability",C42="Equity",C42="Revenue"),H42&gt;0)),"Unusual","OK"))</f>
        <v/>
      </c>
      <c r="Q42" s="14" t="str">
        <f>IF(B42="","",IF(AND(ABS(J42)&gt;='Start Here'!$B$10,IFERROR(ABS(K42)&gt;='Start Here'!$B$11,TRUE)),"Review","OK"))</f>
        <v/>
      </c>
      <c r="R42" s="14" t="str">
        <f>IF(B42="","",IF(OR(O42&lt;&gt;"OK",P42&lt;&gt;"OK",Q42&lt;&gt;"OK"),"Review","Complete"))</f>
        <v/>
      </c>
      <c r="S42" s="14" t="str">
        <f>IF('Start Here'!$B$8="Paste Import",'Paste Import'!J42,'Manual Input'!J42)</f>
        <v/>
      </c>
    </row>
    <row r="43" spans="1:19" x14ac:dyDescent="0.25">
      <c r="A43" s="14" t="str">
        <f>IF('Start Here'!$B$8="Paste Import",'Paste Import'!A43,'Manual Input'!A43)</f>
        <v/>
      </c>
      <c r="B43" s="14" t="str">
        <f>IF('Start Here'!$B$8="Paste Import",'Paste Import'!B43,'Manual Input'!B43)</f>
        <v/>
      </c>
      <c r="C43" s="14" t="str">
        <f>IF('Start Here'!$B$8="Paste Import",'Paste Import'!C43,'Manual Input'!C43)</f>
        <v/>
      </c>
      <c r="D43" s="15" t="str">
        <f>IF('Start Here'!$B$8="Paste Import",'Paste Import'!D43,'Manual Input'!D43)</f>
        <v/>
      </c>
      <c r="E43" s="15" t="str">
        <f>IF('Start Here'!$B$8="Paste Import",'Paste Import'!E43,'Manual Input'!E43)</f>
        <v/>
      </c>
      <c r="F43" s="15" t="str">
        <f>IF('Start Here'!$B$8="Paste Import",'Paste Import'!F43,'Manual Input'!F43)</f>
        <v/>
      </c>
      <c r="G43" s="15" t="str">
        <f>IF('Start Here'!$B$8="Paste Import",'Paste Import'!G43,'Manual Input'!G43)</f>
        <v/>
      </c>
      <c r="H43" s="15" t="str">
        <f>IF(B43="","",D43-E43)</f>
        <v/>
      </c>
      <c r="I43" s="15" t="str">
        <f>IF(B43="","",F43-G43)</f>
        <v/>
      </c>
      <c r="J43" s="15" t="str">
        <f>IF(B43="","",H43-I43)</f>
        <v/>
      </c>
      <c r="K43" s="16" t="str">
        <f>IF(B43="","",IF(I43=0,IF(H43=0,"","New"),J43/ABS(I43)))</f>
        <v/>
      </c>
      <c r="L43" s="14" t="str">
        <f>IF('Start Here'!$B$8="Paste Import",'Paste Import'!H43,'Manual Input'!H43)</f>
        <v/>
      </c>
      <c r="M43" s="15" t="str">
        <f>IF('Start Here'!$B$8="Paste Import",'Paste Import'!I43,'Manual Input'!I43)</f>
        <v/>
      </c>
      <c r="N43" s="15" t="str">
        <f>IF(B43="","",H43+M43)</f>
        <v/>
      </c>
      <c r="O43" s="14" t="str">
        <f>IF(B43="","",IF(OR(C43="",L43=""),"Unmapped","OK"))</f>
        <v/>
      </c>
      <c r="P43" s="14" t="str">
        <f>IF(B43="","",IF(OR(AND(OR(C43="Asset",C43="Expense"),H43&lt;0),AND(OR(C43="Liability",C43="Equity",C43="Revenue"),H43&gt;0)),"Unusual","OK"))</f>
        <v/>
      </c>
      <c r="Q43" s="14" t="str">
        <f>IF(B43="","",IF(AND(ABS(J43)&gt;='Start Here'!$B$10,IFERROR(ABS(K43)&gt;='Start Here'!$B$11,TRUE)),"Review","OK"))</f>
        <v/>
      </c>
      <c r="R43" s="14" t="str">
        <f>IF(B43="","",IF(OR(O43&lt;&gt;"OK",P43&lt;&gt;"OK",Q43&lt;&gt;"OK"),"Review","Complete"))</f>
        <v/>
      </c>
      <c r="S43" s="14" t="str">
        <f>IF('Start Here'!$B$8="Paste Import",'Paste Import'!J43,'Manual Input'!J43)</f>
        <v/>
      </c>
    </row>
    <row r="44" spans="1:19" x14ac:dyDescent="0.25">
      <c r="A44" s="14" t="str">
        <f>IF('Start Here'!$B$8="Paste Import",'Paste Import'!A44,'Manual Input'!A44)</f>
        <v/>
      </c>
      <c r="B44" s="14" t="str">
        <f>IF('Start Here'!$B$8="Paste Import",'Paste Import'!B44,'Manual Input'!B44)</f>
        <v/>
      </c>
      <c r="C44" s="14" t="str">
        <f>IF('Start Here'!$B$8="Paste Import",'Paste Import'!C44,'Manual Input'!C44)</f>
        <v/>
      </c>
      <c r="D44" s="15" t="str">
        <f>IF('Start Here'!$B$8="Paste Import",'Paste Import'!D44,'Manual Input'!D44)</f>
        <v/>
      </c>
      <c r="E44" s="15" t="str">
        <f>IF('Start Here'!$B$8="Paste Import",'Paste Import'!E44,'Manual Input'!E44)</f>
        <v/>
      </c>
      <c r="F44" s="15" t="str">
        <f>IF('Start Here'!$B$8="Paste Import",'Paste Import'!F44,'Manual Input'!F44)</f>
        <v/>
      </c>
      <c r="G44" s="15" t="str">
        <f>IF('Start Here'!$B$8="Paste Import",'Paste Import'!G44,'Manual Input'!G44)</f>
        <v/>
      </c>
      <c r="H44" s="15" t="str">
        <f>IF(B44="","",D44-E44)</f>
        <v/>
      </c>
      <c r="I44" s="15" t="str">
        <f>IF(B44="","",F44-G44)</f>
        <v/>
      </c>
      <c r="J44" s="15" t="str">
        <f>IF(B44="","",H44-I44)</f>
        <v/>
      </c>
      <c r="K44" s="16" t="str">
        <f>IF(B44="","",IF(I44=0,IF(H44=0,"","New"),J44/ABS(I44)))</f>
        <v/>
      </c>
      <c r="L44" s="14" t="str">
        <f>IF('Start Here'!$B$8="Paste Import",'Paste Import'!H44,'Manual Input'!H44)</f>
        <v/>
      </c>
      <c r="M44" s="15" t="str">
        <f>IF('Start Here'!$B$8="Paste Import",'Paste Import'!I44,'Manual Input'!I44)</f>
        <v/>
      </c>
      <c r="N44" s="15" t="str">
        <f>IF(B44="","",H44+M44)</f>
        <v/>
      </c>
      <c r="O44" s="14" t="str">
        <f>IF(B44="","",IF(OR(C44="",L44=""),"Unmapped","OK"))</f>
        <v/>
      </c>
      <c r="P44" s="14" t="str">
        <f>IF(B44="","",IF(OR(AND(OR(C44="Asset",C44="Expense"),H44&lt;0),AND(OR(C44="Liability",C44="Equity",C44="Revenue"),H44&gt;0)),"Unusual","OK"))</f>
        <v/>
      </c>
      <c r="Q44" s="14" t="str">
        <f>IF(B44="","",IF(AND(ABS(J44)&gt;='Start Here'!$B$10,IFERROR(ABS(K44)&gt;='Start Here'!$B$11,TRUE)),"Review","OK"))</f>
        <v/>
      </c>
      <c r="R44" s="14" t="str">
        <f>IF(B44="","",IF(OR(O44&lt;&gt;"OK",P44&lt;&gt;"OK",Q44&lt;&gt;"OK"),"Review","Complete"))</f>
        <v/>
      </c>
      <c r="S44" s="14" t="str">
        <f>IF('Start Here'!$B$8="Paste Import",'Paste Import'!J44,'Manual Input'!J44)</f>
        <v/>
      </c>
    </row>
    <row r="45" spans="1:19" x14ac:dyDescent="0.25">
      <c r="A45" s="14" t="str">
        <f>IF('Start Here'!$B$8="Paste Import",'Paste Import'!A45,'Manual Input'!A45)</f>
        <v/>
      </c>
      <c r="B45" s="14" t="str">
        <f>IF('Start Here'!$B$8="Paste Import",'Paste Import'!B45,'Manual Input'!B45)</f>
        <v/>
      </c>
      <c r="C45" s="14" t="str">
        <f>IF('Start Here'!$B$8="Paste Import",'Paste Import'!C45,'Manual Input'!C45)</f>
        <v/>
      </c>
      <c r="D45" s="15" t="str">
        <f>IF('Start Here'!$B$8="Paste Import",'Paste Import'!D45,'Manual Input'!D45)</f>
        <v/>
      </c>
      <c r="E45" s="15" t="str">
        <f>IF('Start Here'!$B$8="Paste Import",'Paste Import'!E45,'Manual Input'!E45)</f>
        <v/>
      </c>
      <c r="F45" s="15" t="str">
        <f>IF('Start Here'!$B$8="Paste Import",'Paste Import'!F45,'Manual Input'!F45)</f>
        <v/>
      </c>
      <c r="G45" s="15" t="str">
        <f>IF('Start Here'!$B$8="Paste Import",'Paste Import'!G45,'Manual Input'!G45)</f>
        <v/>
      </c>
      <c r="H45" s="15" t="str">
        <f>IF(B45="","",D45-E45)</f>
        <v/>
      </c>
      <c r="I45" s="15" t="str">
        <f>IF(B45="","",F45-G45)</f>
        <v/>
      </c>
      <c r="J45" s="15" t="str">
        <f>IF(B45="","",H45-I45)</f>
        <v/>
      </c>
      <c r="K45" s="16" t="str">
        <f>IF(B45="","",IF(I45=0,IF(H45=0,"","New"),J45/ABS(I45)))</f>
        <v/>
      </c>
      <c r="L45" s="14" t="str">
        <f>IF('Start Here'!$B$8="Paste Import",'Paste Import'!H45,'Manual Input'!H45)</f>
        <v/>
      </c>
      <c r="M45" s="15" t="str">
        <f>IF('Start Here'!$B$8="Paste Import",'Paste Import'!I45,'Manual Input'!I45)</f>
        <v/>
      </c>
      <c r="N45" s="15" t="str">
        <f>IF(B45="","",H45+M45)</f>
        <v/>
      </c>
      <c r="O45" s="14" t="str">
        <f>IF(B45="","",IF(OR(C45="",L45=""),"Unmapped","OK"))</f>
        <v/>
      </c>
      <c r="P45" s="14" t="str">
        <f>IF(B45="","",IF(OR(AND(OR(C45="Asset",C45="Expense"),H45&lt;0),AND(OR(C45="Liability",C45="Equity",C45="Revenue"),H45&gt;0)),"Unusual","OK"))</f>
        <v/>
      </c>
      <c r="Q45" s="14" t="str">
        <f>IF(B45="","",IF(AND(ABS(J45)&gt;='Start Here'!$B$10,IFERROR(ABS(K45)&gt;='Start Here'!$B$11,TRUE)),"Review","OK"))</f>
        <v/>
      </c>
      <c r="R45" s="14" t="str">
        <f>IF(B45="","",IF(OR(O45&lt;&gt;"OK",P45&lt;&gt;"OK",Q45&lt;&gt;"OK"),"Review","Complete"))</f>
        <v/>
      </c>
      <c r="S45" s="14" t="str">
        <f>IF('Start Here'!$B$8="Paste Import",'Paste Import'!J45,'Manual Input'!J45)</f>
        <v/>
      </c>
    </row>
    <row r="46" spans="1:19" x14ac:dyDescent="0.25">
      <c r="A46" s="14" t="str">
        <f>IF('Start Here'!$B$8="Paste Import",'Paste Import'!A46,'Manual Input'!A46)</f>
        <v/>
      </c>
      <c r="B46" s="14" t="str">
        <f>IF('Start Here'!$B$8="Paste Import",'Paste Import'!B46,'Manual Input'!B46)</f>
        <v/>
      </c>
      <c r="C46" s="14" t="str">
        <f>IF('Start Here'!$B$8="Paste Import",'Paste Import'!C46,'Manual Input'!C46)</f>
        <v/>
      </c>
      <c r="D46" s="15" t="str">
        <f>IF('Start Here'!$B$8="Paste Import",'Paste Import'!D46,'Manual Input'!D46)</f>
        <v/>
      </c>
      <c r="E46" s="15" t="str">
        <f>IF('Start Here'!$B$8="Paste Import",'Paste Import'!E46,'Manual Input'!E46)</f>
        <v/>
      </c>
      <c r="F46" s="15" t="str">
        <f>IF('Start Here'!$B$8="Paste Import",'Paste Import'!F46,'Manual Input'!F46)</f>
        <v/>
      </c>
      <c r="G46" s="15" t="str">
        <f>IF('Start Here'!$B$8="Paste Import",'Paste Import'!G46,'Manual Input'!G46)</f>
        <v/>
      </c>
      <c r="H46" s="15" t="str">
        <f>IF(B46="","",D46-E46)</f>
        <v/>
      </c>
      <c r="I46" s="15" t="str">
        <f>IF(B46="","",F46-G46)</f>
        <v/>
      </c>
      <c r="J46" s="15" t="str">
        <f>IF(B46="","",H46-I46)</f>
        <v/>
      </c>
      <c r="K46" s="16" t="str">
        <f>IF(B46="","",IF(I46=0,IF(H46=0,"","New"),J46/ABS(I46)))</f>
        <v/>
      </c>
      <c r="L46" s="14" t="str">
        <f>IF('Start Here'!$B$8="Paste Import",'Paste Import'!H46,'Manual Input'!H46)</f>
        <v/>
      </c>
      <c r="M46" s="15" t="str">
        <f>IF('Start Here'!$B$8="Paste Import",'Paste Import'!I46,'Manual Input'!I46)</f>
        <v/>
      </c>
      <c r="N46" s="15" t="str">
        <f>IF(B46="","",H46+M46)</f>
        <v/>
      </c>
      <c r="O46" s="14" t="str">
        <f>IF(B46="","",IF(OR(C46="",L46=""),"Unmapped","OK"))</f>
        <v/>
      </c>
      <c r="P46" s="14" t="str">
        <f>IF(B46="","",IF(OR(AND(OR(C46="Asset",C46="Expense"),H46&lt;0),AND(OR(C46="Liability",C46="Equity",C46="Revenue"),H46&gt;0)),"Unusual","OK"))</f>
        <v/>
      </c>
      <c r="Q46" s="14" t="str">
        <f>IF(B46="","",IF(AND(ABS(J46)&gt;='Start Here'!$B$10,IFERROR(ABS(K46)&gt;='Start Here'!$B$11,TRUE)),"Review","OK"))</f>
        <v/>
      </c>
      <c r="R46" s="14" t="str">
        <f>IF(B46="","",IF(OR(O46&lt;&gt;"OK",P46&lt;&gt;"OK",Q46&lt;&gt;"OK"),"Review","Complete"))</f>
        <v/>
      </c>
      <c r="S46" s="14" t="str">
        <f>IF('Start Here'!$B$8="Paste Import",'Paste Import'!J46,'Manual Input'!J46)</f>
        <v/>
      </c>
    </row>
    <row r="47" spans="1:19" x14ac:dyDescent="0.25">
      <c r="A47" s="14" t="str">
        <f>IF('Start Here'!$B$8="Paste Import",'Paste Import'!A47,'Manual Input'!A47)</f>
        <v/>
      </c>
      <c r="B47" s="14" t="str">
        <f>IF('Start Here'!$B$8="Paste Import",'Paste Import'!B47,'Manual Input'!B47)</f>
        <v/>
      </c>
      <c r="C47" s="14" t="str">
        <f>IF('Start Here'!$B$8="Paste Import",'Paste Import'!C47,'Manual Input'!C47)</f>
        <v/>
      </c>
      <c r="D47" s="15" t="str">
        <f>IF('Start Here'!$B$8="Paste Import",'Paste Import'!D47,'Manual Input'!D47)</f>
        <v/>
      </c>
      <c r="E47" s="15" t="str">
        <f>IF('Start Here'!$B$8="Paste Import",'Paste Import'!E47,'Manual Input'!E47)</f>
        <v/>
      </c>
      <c r="F47" s="15" t="str">
        <f>IF('Start Here'!$B$8="Paste Import",'Paste Import'!F47,'Manual Input'!F47)</f>
        <v/>
      </c>
      <c r="G47" s="15" t="str">
        <f>IF('Start Here'!$B$8="Paste Import",'Paste Import'!G47,'Manual Input'!G47)</f>
        <v/>
      </c>
      <c r="H47" s="15" t="str">
        <f>IF(B47="","",D47-E47)</f>
        <v/>
      </c>
      <c r="I47" s="15" t="str">
        <f>IF(B47="","",F47-G47)</f>
        <v/>
      </c>
      <c r="J47" s="15" t="str">
        <f>IF(B47="","",H47-I47)</f>
        <v/>
      </c>
      <c r="K47" s="16" t="str">
        <f>IF(B47="","",IF(I47=0,IF(H47=0,"","New"),J47/ABS(I47)))</f>
        <v/>
      </c>
      <c r="L47" s="14" t="str">
        <f>IF('Start Here'!$B$8="Paste Import",'Paste Import'!H47,'Manual Input'!H47)</f>
        <v/>
      </c>
      <c r="M47" s="15" t="str">
        <f>IF('Start Here'!$B$8="Paste Import",'Paste Import'!I47,'Manual Input'!I47)</f>
        <v/>
      </c>
      <c r="N47" s="15" t="str">
        <f>IF(B47="","",H47+M47)</f>
        <v/>
      </c>
      <c r="O47" s="14" t="str">
        <f>IF(B47="","",IF(OR(C47="",L47=""),"Unmapped","OK"))</f>
        <v/>
      </c>
      <c r="P47" s="14" t="str">
        <f>IF(B47="","",IF(OR(AND(OR(C47="Asset",C47="Expense"),H47&lt;0),AND(OR(C47="Liability",C47="Equity",C47="Revenue"),H47&gt;0)),"Unusual","OK"))</f>
        <v/>
      </c>
      <c r="Q47" s="14" t="str">
        <f>IF(B47="","",IF(AND(ABS(J47)&gt;='Start Here'!$B$10,IFERROR(ABS(K47)&gt;='Start Here'!$B$11,TRUE)),"Review","OK"))</f>
        <v/>
      </c>
      <c r="R47" s="14" t="str">
        <f>IF(B47="","",IF(OR(O47&lt;&gt;"OK",P47&lt;&gt;"OK",Q47&lt;&gt;"OK"),"Review","Complete"))</f>
        <v/>
      </c>
      <c r="S47" s="14" t="str">
        <f>IF('Start Here'!$B$8="Paste Import",'Paste Import'!J47,'Manual Input'!J47)</f>
        <v/>
      </c>
    </row>
    <row r="48" spans="1:19" x14ac:dyDescent="0.25">
      <c r="A48" s="14" t="str">
        <f>IF('Start Here'!$B$8="Paste Import",'Paste Import'!A48,'Manual Input'!A48)</f>
        <v/>
      </c>
      <c r="B48" s="14" t="str">
        <f>IF('Start Here'!$B$8="Paste Import",'Paste Import'!B48,'Manual Input'!B48)</f>
        <v/>
      </c>
      <c r="C48" s="14" t="str">
        <f>IF('Start Here'!$B$8="Paste Import",'Paste Import'!C48,'Manual Input'!C48)</f>
        <v/>
      </c>
      <c r="D48" s="15" t="str">
        <f>IF('Start Here'!$B$8="Paste Import",'Paste Import'!D48,'Manual Input'!D48)</f>
        <v/>
      </c>
      <c r="E48" s="15" t="str">
        <f>IF('Start Here'!$B$8="Paste Import",'Paste Import'!E48,'Manual Input'!E48)</f>
        <v/>
      </c>
      <c r="F48" s="15" t="str">
        <f>IF('Start Here'!$B$8="Paste Import",'Paste Import'!F48,'Manual Input'!F48)</f>
        <v/>
      </c>
      <c r="G48" s="15" t="str">
        <f>IF('Start Here'!$B$8="Paste Import",'Paste Import'!G48,'Manual Input'!G48)</f>
        <v/>
      </c>
      <c r="H48" s="15" t="str">
        <f>IF(B48="","",D48-E48)</f>
        <v/>
      </c>
      <c r="I48" s="15" t="str">
        <f>IF(B48="","",F48-G48)</f>
        <v/>
      </c>
      <c r="J48" s="15" t="str">
        <f>IF(B48="","",H48-I48)</f>
        <v/>
      </c>
      <c r="K48" s="16" t="str">
        <f>IF(B48="","",IF(I48=0,IF(H48=0,"","New"),J48/ABS(I48)))</f>
        <v/>
      </c>
      <c r="L48" s="14" t="str">
        <f>IF('Start Here'!$B$8="Paste Import",'Paste Import'!H48,'Manual Input'!H48)</f>
        <v/>
      </c>
      <c r="M48" s="15" t="str">
        <f>IF('Start Here'!$B$8="Paste Import",'Paste Import'!I48,'Manual Input'!I48)</f>
        <v/>
      </c>
      <c r="N48" s="15" t="str">
        <f>IF(B48="","",H48+M48)</f>
        <v/>
      </c>
      <c r="O48" s="14" t="str">
        <f>IF(B48="","",IF(OR(C48="",L48=""),"Unmapped","OK"))</f>
        <v/>
      </c>
      <c r="P48" s="14" t="str">
        <f>IF(B48="","",IF(OR(AND(OR(C48="Asset",C48="Expense"),H48&lt;0),AND(OR(C48="Liability",C48="Equity",C48="Revenue"),H48&gt;0)),"Unusual","OK"))</f>
        <v/>
      </c>
      <c r="Q48" s="14" t="str">
        <f>IF(B48="","",IF(AND(ABS(J48)&gt;='Start Here'!$B$10,IFERROR(ABS(K48)&gt;='Start Here'!$B$11,TRUE)),"Review","OK"))</f>
        <v/>
      </c>
      <c r="R48" s="14" t="str">
        <f>IF(B48="","",IF(OR(O48&lt;&gt;"OK",P48&lt;&gt;"OK",Q48&lt;&gt;"OK"),"Review","Complete"))</f>
        <v/>
      </c>
      <c r="S48" s="14" t="str">
        <f>IF('Start Here'!$B$8="Paste Import",'Paste Import'!J48,'Manual Input'!J48)</f>
        <v/>
      </c>
    </row>
    <row r="49" spans="1:19" x14ac:dyDescent="0.25">
      <c r="A49" s="14" t="str">
        <f>IF('Start Here'!$B$8="Paste Import",'Paste Import'!A49,'Manual Input'!A49)</f>
        <v/>
      </c>
      <c r="B49" s="14" t="str">
        <f>IF('Start Here'!$B$8="Paste Import",'Paste Import'!B49,'Manual Input'!B49)</f>
        <v/>
      </c>
      <c r="C49" s="14" t="str">
        <f>IF('Start Here'!$B$8="Paste Import",'Paste Import'!C49,'Manual Input'!C49)</f>
        <v/>
      </c>
      <c r="D49" s="15" t="str">
        <f>IF('Start Here'!$B$8="Paste Import",'Paste Import'!D49,'Manual Input'!D49)</f>
        <v/>
      </c>
      <c r="E49" s="15" t="str">
        <f>IF('Start Here'!$B$8="Paste Import",'Paste Import'!E49,'Manual Input'!E49)</f>
        <v/>
      </c>
      <c r="F49" s="15" t="str">
        <f>IF('Start Here'!$B$8="Paste Import",'Paste Import'!F49,'Manual Input'!F49)</f>
        <v/>
      </c>
      <c r="G49" s="15" t="str">
        <f>IF('Start Here'!$B$8="Paste Import",'Paste Import'!G49,'Manual Input'!G49)</f>
        <v/>
      </c>
      <c r="H49" s="15" t="str">
        <f>IF(B49="","",D49-E49)</f>
        <v/>
      </c>
      <c r="I49" s="15" t="str">
        <f>IF(B49="","",F49-G49)</f>
        <v/>
      </c>
      <c r="J49" s="15" t="str">
        <f>IF(B49="","",H49-I49)</f>
        <v/>
      </c>
      <c r="K49" s="16" t="str">
        <f>IF(B49="","",IF(I49=0,IF(H49=0,"","New"),J49/ABS(I49)))</f>
        <v/>
      </c>
      <c r="L49" s="14" t="str">
        <f>IF('Start Here'!$B$8="Paste Import",'Paste Import'!H49,'Manual Input'!H49)</f>
        <v/>
      </c>
      <c r="M49" s="15" t="str">
        <f>IF('Start Here'!$B$8="Paste Import",'Paste Import'!I49,'Manual Input'!I49)</f>
        <v/>
      </c>
      <c r="N49" s="15" t="str">
        <f>IF(B49="","",H49+M49)</f>
        <v/>
      </c>
      <c r="O49" s="14" t="str">
        <f>IF(B49="","",IF(OR(C49="",L49=""),"Unmapped","OK"))</f>
        <v/>
      </c>
      <c r="P49" s="14" t="str">
        <f>IF(B49="","",IF(OR(AND(OR(C49="Asset",C49="Expense"),H49&lt;0),AND(OR(C49="Liability",C49="Equity",C49="Revenue"),H49&gt;0)),"Unusual","OK"))</f>
        <v/>
      </c>
      <c r="Q49" s="14" t="str">
        <f>IF(B49="","",IF(AND(ABS(J49)&gt;='Start Here'!$B$10,IFERROR(ABS(K49)&gt;='Start Here'!$B$11,TRUE)),"Review","OK"))</f>
        <v/>
      </c>
      <c r="R49" s="14" t="str">
        <f>IF(B49="","",IF(OR(O49&lt;&gt;"OK",P49&lt;&gt;"OK",Q49&lt;&gt;"OK"),"Review","Complete"))</f>
        <v/>
      </c>
      <c r="S49" s="14" t="str">
        <f>IF('Start Here'!$B$8="Paste Import",'Paste Import'!J49,'Manual Input'!J49)</f>
        <v/>
      </c>
    </row>
    <row r="50" spans="1:19" x14ac:dyDescent="0.25">
      <c r="A50" s="14" t="str">
        <f>IF('Start Here'!$B$8="Paste Import",'Paste Import'!A50,'Manual Input'!A50)</f>
        <v/>
      </c>
      <c r="B50" s="14" t="str">
        <f>IF('Start Here'!$B$8="Paste Import",'Paste Import'!B50,'Manual Input'!B50)</f>
        <v/>
      </c>
      <c r="C50" s="14" t="str">
        <f>IF('Start Here'!$B$8="Paste Import",'Paste Import'!C50,'Manual Input'!C50)</f>
        <v/>
      </c>
      <c r="D50" s="15" t="str">
        <f>IF('Start Here'!$B$8="Paste Import",'Paste Import'!D50,'Manual Input'!D50)</f>
        <v/>
      </c>
      <c r="E50" s="15" t="str">
        <f>IF('Start Here'!$B$8="Paste Import",'Paste Import'!E50,'Manual Input'!E50)</f>
        <v/>
      </c>
      <c r="F50" s="15" t="str">
        <f>IF('Start Here'!$B$8="Paste Import",'Paste Import'!F50,'Manual Input'!F50)</f>
        <v/>
      </c>
      <c r="G50" s="15" t="str">
        <f>IF('Start Here'!$B$8="Paste Import",'Paste Import'!G50,'Manual Input'!G50)</f>
        <v/>
      </c>
      <c r="H50" s="15" t="str">
        <f>IF(B50="","",D50-E50)</f>
        <v/>
      </c>
      <c r="I50" s="15" t="str">
        <f>IF(B50="","",F50-G50)</f>
        <v/>
      </c>
      <c r="J50" s="15" t="str">
        <f>IF(B50="","",H50-I50)</f>
        <v/>
      </c>
      <c r="K50" s="16" t="str">
        <f>IF(B50="","",IF(I50=0,IF(H50=0,"","New"),J50/ABS(I50)))</f>
        <v/>
      </c>
      <c r="L50" s="14" t="str">
        <f>IF('Start Here'!$B$8="Paste Import",'Paste Import'!H50,'Manual Input'!H50)</f>
        <v/>
      </c>
      <c r="M50" s="15" t="str">
        <f>IF('Start Here'!$B$8="Paste Import",'Paste Import'!I50,'Manual Input'!I50)</f>
        <v/>
      </c>
      <c r="N50" s="15" t="str">
        <f>IF(B50="","",H50+M50)</f>
        <v/>
      </c>
      <c r="O50" s="14" t="str">
        <f>IF(B50="","",IF(OR(C50="",L50=""),"Unmapped","OK"))</f>
        <v/>
      </c>
      <c r="P50" s="14" t="str">
        <f>IF(B50="","",IF(OR(AND(OR(C50="Asset",C50="Expense"),H50&lt;0),AND(OR(C50="Liability",C50="Equity",C50="Revenue"),H50&gt;0)),"Unusual","OK"))</f>
        <v/>
      </c>
      <c r="Q50" s="14" t="str">
        <f>IF(B50="","",IF(AND(ABS(J50)&gt;='Start Here'!$B$10,IFERROR(ABS(K50)&gt;='Start Here'!$B$11,TRUE)),"Review","OK"))</f>
        <v/>
      </c>
      <c r="R50" s="14" t="str">
        <f>IF(B50="","",IF(OR(O50&lt;&gt;"OK",P50&lt;&gt;"OK",Q50&lt;&gt;"OK"),"Review","Complete"))</f>
        <v/>
      </c>
      <c r="S50" s="14" t="str">
        <f>IF('Start Here'!$B$8="Paste Import",'Paste Import'!J50,'Manual Input'!J50)</f>
        <v/>
      </c>
    </row>
    <row r="51" spans="1:19" x14ac:dyDescent="0.25">
      <c r="A51" s="14" t="str">
        <f>IF('Start Here'!$B$8="Paste Import",'Paste Import'!A51,'Manual Input'!A51)</f>
        <v/>
      </c>
      <c r="B51" s="14" t="str">
        <f>IF('Start Here'!$B$8="Paste Import",'Paste Import'!B51,'Manual Input'!B51)</f>
        <v/>
      </c>
      <c r="C51" s="14" t="str">
        <f>IF('Start Here'!$B$8="Paste Import",'Paste Import'!C51,'Manual Input'!C51)</f>
        <v/>
      </c>
      <c r="D51" s="15" t="str">
        <f>IF('Start Here'!$B$8="Paste Import",'Paste Import'!D51,'Manual Input'!D51)</f>
        <v/>
      </c>
      <c r="E51" s="15" t="str">
        <f>IF('Start Here'!$B$8="Paste Import",'Paste Import'!E51,'Manual Input'!E51)</f>
        <v/>
      </c>
      <c r="F51" s="15" t="str">
        <f>IF('Start Here'!$B$8="Paste Import",'Paste Import'!F51,'Manual Input'!F51)</f>
        <v/>
      </c>
      <c r="G51" s="15" t="str">
        <f>IF('Start Here'!$B$8="Paste Import",'Paste Import'!G51,'Manual Input'!G51)</f>
        <v/>
      </c>
      <c r="H51" s="15" t="str">
        <f>IF(B51="","",D51-E51)</f>
        <v/>
      </c>
      <c r="I51" s="15" t="str">
        <f>IF(B51="","",F51-G51)</f>
        <v/>
      </c>
      <c r="J51" s="15" t="str">
        <f>IF(B51="","",H51-I51)</f>
        <v/>
      </c>
      <c r="K51" s="16" t="str">
        <f>IF(B51="","",IF(I51=0,IF(H51=0,"","New"),J51/ABS(I51)))</f>
        <v/>
      </c>
      <c r="L51" s="14" t="str">
        <f>IF('Start Here'!$B$8="Paste Import",'Paste Import'!H51,'Manual Input'!H51)</f>
        <v/>
      </c>
      <c r="M51" s="15" t="str">
        <f>IF('Start Here'!$B$8="Paste Import",'Paste Import'!I51,'Manual Input'!I51)</f>
        <v/>
      </c>
      <c r="N51" s="15" t="str">
        <f>IF(B51="","",H51+M51)</f>
        <v/>
      </c>
      <c r="O51" s="14" t="str">
        <f>IF(B51="","",IF(OR(C51="",L51=""),"Unmapped","OK"))</f>
        <v/>
      </c>
      <c r="P51" s="14" t="str">
        <f>IF(B51="","",IF(OR(AND(OR(C51="Asset",C51="Expense"),H51&lt;0),AND(OR(C51="Liability",C51="Equity",C51="Revenue"),H51&gt;0)),"Unusual","OK"))</f>
        <v/>
      </c>
      <c r="Q51" s="14" t="str">
        <f>IF(B51="","",IF(AND(ABS(J51)&gt;='Start Here'!$B$10,IFERROR(ABS(K51)&gt;='Start Here'!$B$11,TRUE)),"Review","OK"))</f>
        <v/>
      </c>
      <c r="R51" s="14" t="str">
        <f>IF(B51="","",IF(OR(O51&lt;&gt;"OK",P51&lt;&gt;"OK",Q51&lt;&gt;"OK"),"Review","Complete"))</f>
        <v/>
      </c>
      <c r="S51" s="14" t="str">
        <f>IF('Start Here'!$B$8="Paste Import",'Paste Import'!J51,'Manual Input'!J51)</f>
        <v/>
      </c>
    </row>
    <row r="52" spans="1:19" x14ac:dyDescent="0.25">
      <c r="A52" s="14" t="str">
        <f>IF('Start Here'!$B$8="Paste Import",'Paste Import'!A52,'Manual Input'!A52)</f>
        <v/>
      </c>
      <c r="B52" s="14" t="str">
        <f>IF('Start Here'!$B$8="Paste Import",'Paste Import'!B52,'Manual Input'!B52)</f>
        <v/>
      </c>
      <c r="C52" s="14" t="str">
        <f>IF('Start Here'!$B$8="Paste Import",'Paste Import'!C52,'Manual Input'!C52)</f>
        <v/>
      </c>
      <c r="D52" s="15" t="str">
        <f>IF('Start Here'!$B$8="Paste Import",'Paste Import'!D52,'Manual Input'!D52)</f>
        <v/>
      </c>
      <c r="E52" s="15" t="str">
        <f>IF('Start Here'!$B$8="Paste Import",'Paste Import'!E52,'Manual Input'!E52)</f>
        <v/>
      </c>
      <c r="F52" s="15" t="str">
        <f>IF('Start Here'!$B$8="Paste Import",'Paste Import'!F52,'Manual Input'!F52)</f>
        <v/>
      </c>
      <c r="G52" s="15" t="str">
        <f>IF('Start Here'!$B$8="Paste Import",'Paste Import'!G52,'Manual Input'!G52)</f>
        <v/>
      </c>
      <c r="H52" s="15" t="str">
        <f>IF(B52="","",D52-E52)</f>
        <v/>
      </c>
      <c r="I52" s="15" t="str">
        <f>IF(B52="","",F52-G52)</f>
        <v/>
      </c>
      <c r="J52" s="15" t="str">
        <f>IF(B52="","",H52-I52)</f>
        <v/>
      </c>
      <c r="K52" s="16" t="str">
        <f>IF(B52="","",IF(I52=0,IF(H52=0,"","New"),J52/ABS(I52)))</f>
        <v/>
      </c>
      <c r="L52" s="14" t="str">
        <f>IF('Start Here'!$B$8="Paste Import",'Paste Import'!H52,'Manual Input'!H52)</f>
        <v/>
      </c>
      <c r="M52" s="15" t="str">
        <f>IF('Start Here'!$B$8="Paste Import",'Paste Import'!I52,'Manual Input'!I52)</f>
        <v/>
      </c>
      <c r="N52" s="15" t="str">
        <f>IF(B52="","",H52+M52)</f>
        <v/>
      </c>
      <c r="O52" s="14" t="str">
        <f>IF(B52="","",IF(OR(C52="",L52=""),"Unmapped","OK"))</f>
        <v/>
      </c>
      <c r="P52" s="14" t="str">
        <f>IF(B52="","",IF(OR(AND(OR(C52="Asset",C52="Expense"),H52&lt;0),AND(OR(C52="Liability",C52="Equity",C52="Revenue"),H52&gt;0)),"Unusual","OK"))</f>
        <v/>
      </c>
      <c r="Q52" s="14" t="str">
        <f>IF(B52="","",IF(AND(ABS(J52)&gt;='Start Here'!$B$10,IFERROR(ABS(K52)&gt;='Start Here'!$B$11,TRUE)),"Review","OK"))</f>
        <v/>
      </c>
      <c r="R52" s="14" t="str">
        <f>IF(B52="","",IF(OR(O52&lt;&gt;"OK",P52&lt;&gt;"OK",Q52&lt;&gt;"OK"),"Review","Complete"))</f>
        <v/>
      </c>
      <c r="S52" s="14" t="str">
        <f>IF('Start Here'!$B$8="Paste Import",'Paste Import'!J52,'Manual Input'!J52)</f>
        <v/>
      </c>
    </row>
    <row r="53" spans="1:19" x14ac:dyDescent="0.25">
      <c r="A53" s="14" t="str">
        <f>IF('Start Here'!$B$8="Paste Import",'Paste Import'!A53,'Manual Input'!A53)</f>
        <v/>
      </c>
      <c r="B53" s="14" t="str">
        <f>IF('Start Here'!$B$8="Paste Import",'Paste Import'!B53,'Manual Input'!B53)</f>
        <v/>
      </c>
      <c r="C53" s="14" t="str">
        <f>IF('Start Here'!$B$8="Paste Import",'Paste Import'!C53,'Manual Input'!C53)</f>
        <v/>
      </c>
      <c r="D53" s="15" t="str">
        <f>IF('Start Here'!$B$8="Paste Import",'Paste Import'!D53,'Manual Input'!D53)</f>
        <v/>
      </c>
      <c r="E53" s="15" t="str">
        <f>IF('Start Here'!$B$8="Paste Import",'Paste Import'!E53,'Manual Input'!E53)</f>
        <v/>
      </c>
      <c r="F53" s="15" t="str">
        <f>IF('Start Here'!$B$8="Paste Import",'Paste Import'!F53,'Manual Input'!F53)</f>
        <v/>
      </c>
      <c r="G53" s="15" t="str">
        <f>IF('Start Here'!$B$8="Paste Import",'Paste Import'!G53,'Manual Input'!G53)</f>
        <v/>
      </c>
      <c r="H53" s="15" t="str">
        <f>IF(B53="","",D53-E53)</f>
        <v/>
      </c>
      <c r="I53" s="15" t="str">
        <f>IF(B53="","",F53-G53)</f>
        <v/>
      </c>
      <c r="J53" s="15" t="str">
        <f>IF(B53="","",H53-I53)</f>
        <v/>
      </c>
      <c r="K53" s="16" t="str">
        <f>IF(B53="","",IF(I53=0,IF(H53=0,"","New"),J53/ABS(I53)))</f>
        <v/>
      </c>
      <c r="L53" s="14" t="str">
        <f>IF('Start Here'!$B$8="Paste Import",'Paste Import'!H53,'Manual Input'!H53)</f>
        <v/>
      </c>
      <c r="M53" s="15" t="str">
        <f>IF('Start Here'!$B$8="Paste Import",'Paste Import'!I53,'Manual Input'!I53)</f>
        <v/>
      </c>
      <c r="N53" s="15" t="str">
        <f>IF(B53="","",H53+M53)</f>
        <v/>
      </c>
      <c r="O53" s="14" t="str">
        <f>IF(B53="","",IF(OR(C53="",L53=""),"Unmapped","OK"))</f>
        <v/>
      </c>
      <c r="P53" s="14" t="str">
        <f>IF(B53="","",IF(OR(AND(OR(C53="Asset",C53="Expense"),H53&lt;0),AND(OR(C53="Liability",C53="Equity",C53="Revenue"),H53&gt;0)),"Unusual","OK"))</f>
        <v/>
      </c>
      <c r="Q53" s="14" t="str">
        <f>IF(B53="","",IF(AND(ABS(J53)&gt;='Start Here'!$B$10,IFERROR(ABS(K53)&gt;='Start Here'!$B$11,TRUE)),"Review","OK"))</f>
        <v/>
      </c>
      <c r="R53" s="14" t="str">
        <f>IF(B53="","",IF(OR(O53&lt;&gt;"OK",P53&lt;&gt;"OK",Q53&lt;&gt;"OK"),"Review","Complete"))</f>
        <v/>
      </c>
      <c r="S53" s="14" t="str">
        <f>IF('Start Here'!$B$8="Paste Import",'Paste Import'!J53,'Manual Input'!J53)</f>
        <v/>
      </c>
    </row>
    <row r="54" spans="1:19" x14ac:dyDescent="0.25">
      <c r="A54" s="14" t="str">
        <f>IF('Start Here'!$B$8="Paste Import",'Paste Import'!A54,'Manual Input'!A54)</f>
        <v/>
      </c>
      <c r="B54" s="14" t="str">
        <f>IF('Start Here'!$B$8="Paste Import",'Paste Import'!B54,'Manual Input'!B54)</f>
        <v/>
      </c>
      <c r="C54" s="14" t="str">
        <f>IF('Start Here'!$B$8="Paste Import",'Paste Import'!C54,'Manual Input'!C54)</f>
        <v/>
      </c>
      <c r="D54" s="15" t="str">
        <f>IF('Start Here'!$B$8="Paste Import",'Paste Import'!D54,'Manual Input'!D54)</f>
        <v/>
      </c>
      <c r="E54" s="15" t="str">
        <f>IF('Start Here'!$B$8="Paste Import",'Paste Import'!E54,'Manual Input'!E54)</f>
        <v/>
      </c>
      <c r="F54" s="15" t="str">
        <f>IF('Start Here'!$B$8="Paste Import",'Paste Import'!F54,'Manual Input'!F54)</f>
        <v/>
      </c>
      <c r="G54" s="15" t="str">
        <f>IF('Start Here'!$B$8="Paste Import",'Paste Import'!G54,'Manual Input'!G54)</f>
        <v/>
      </c>
      <c r="H54" s="15" t="str">
        <f>IF(B54="","",D54-E54)</f>
        <v/>
      </c>
      <c r="I54" s="15" t="str">
        <f>IF(B54="","",F54-G54)</f>
        <v/>
      </c>
      <c r="J54" s="15" t="str">
        <f>IF(B54="","",H54-I54)</f>
        <v/>
      </c>
      <c r="K54" s="16" t="str">
        <f>IF(B54="","",IF(I54=0,IF(H54=0,"","New"),J54/ABS(I54)))</f>
        <v/>
      </c>
      <c r="L54" s="14" t="str">
        <f>IF('Start Here'!$B$8="Paste Import",'Paste Import'!H54,'Manual Input'!H54)</f>
        <v/>
      </c>
      <c r="M54" s="15" t="str">
        <f>IF('Start Here'!$B$8="Paste Import",'Paste Import'!I54,'Manual Input'!I54)</f>
        <v/>
      </c>
      <c r="N54" s="15" t="str">
        <f>IF(B54="","",H54+M54)</f>
        <v/>
      </c>
      <c r="O54" s="14" t="str">
        <f>IF(B54="","",IF(OR(C54="",L54=""),"Unmapped","OK"))</f>
        <v/>
      </c>
      <c r="P54" s="14" t="str">
        <f>IF(B54="","",IF(OR(AND(OR(C54="Asset",C54="Expense"),H54&lt;0),AND(OR(C54="Liability",C54="Equity",C54="Revenue"),H54&gt;0)),"Unusual","OK"))</f>
        <v/>
      </c>
      <c r="Q54" s="14" t="str">
        <f>IF(B54="","",IF(AND(ABS(J54)&gt;='Start Here'!$B$10,IFERROR(ABS(K54)&gt;='Start Here'!$B$11,TRUE)),"Review","OK"))</f>
        <v/>
      </c>
      <c r="R54" s="14" t="str">
        <f>IF(B54="","",IF(OR(O54&lt;&gt;"OK",P54&lt;&gt;"OK",Q54&lt;&gt;"OK"),"Review","Complete"))</f>
        <v/>
      </c>
      <c r="S54" s="14" t="str">
        <f>IF('Start Here'!$B$8="Paste Import",'Paste Import'!J54,'Manual Input'!J54)</f>
        <v/>
      </c>
    </row>
    <row r="55" spans="1:19" x14ac:dyDescent="0.25">
      <c r="A55" s="14" t="str">
        <f>IF('Start Here'!$B$8="Paste Import",'Paste Import'!A55,'Manual Input'!A55)</f>
        <v/>
      </c>
      <c r="B55" s="14" t="str">
        <f>IF('Start Here'!$B$8="Paste Import",'Paste Import'!B55,'Manual Input'!B55)</f>
        <v/>
      </c>
      <c r="C55" s="14" t="str">
        <f>IF('Start Here'!$B$8="Paste Import",'Paste Import'!C55,'Manual Input'!C55)</f>
        <v/>
      </c>
      <c r="D55" s="15" t="str">
        <f>IF('Start Here'!$B$8="Paste Import",'Paste Import'!D55,'Manual Input'!D55)</f>
        <v/>
      </c>
      <c r="E55" s="15" t="str">
        <f>IF('Start Here'!$B$8="Paste Import",'Paste Import'!E55,'Manual Input'!E55)</f>
        <v/>
      </c>
      <c r="F55" s="15" t="str">
        <f>IF('Start Here'!$B$8="Paste Import",'Paste Import'!F55,'Manual Input'!F55)</f>
        <v/>
      </c>
      <c r="G55" s="15" t="str">
        <f>IF('Start Here'!$B$8="Paste Import",'Paste Import'!G55,'Manual Input'!G55)</f>
        <v/>
      </c>
      <c r="H55" s="15" t="str">
        <f>IF(B55="","",D55-E55)</f>
        <v/>
      </c>
      <c r="I55" s="15" t="str">
        <f>IF(B55="","",F55-G55)</f>
        <v/>
      </c>
      <c r="J55" s="15" t="str">
        <f>IF(B55="","",H55-I55)</f>
        <v/>
      </c>
      <c r="K55" s="16" t="str">
        <f>IF(B55="","",IF(I55=0,IF(H55=0,"","New"),J55/ABS(I55)))</f>
        <v/>
      </c>
      <c r="L55" s="14" t="str">
        <f>IF('Start Here'!$B$8="Paste Import",'Paste Import'!H55,'Manual Input'!H55)</f>
        <v/>
      </c>
      <c r="M55" s="15" t="str">
        <f>IF('Start Here'!$B$8="Paste Import",'Paste Import'!I55,'Manual Input'!I55)</f>
        <v/>
      </c>
      <c r="N55" s="15" t="str">
        <f>IF(B55="","",H55+M55)</f>
        <v/>
      </c>
      <c r="O55" s="14" t="str">
        <f>IF(B55="","",IF(OR(C55="",L55=""),"Unmapped","OK"))</f>
        <v/>
      </c>
      <c r="P55" s="14" t="str">
        <f>IF(B55="","",IF(OR(AND(OR(C55="Asset",C55="Expense"),H55&lt;0),AND(OR(C55="Liability",C55="Equity",C55="Revenue"),H55&gt;0)),"Unusual","OK"))</f>
        <v/>
      </c>
      <c r="Q55" s="14" t="str">
        <f>IF(B55="","",IF(AND(ABS(J55)&gt;='Start Here'!$B$10,IFERROR(ABS(K55)&gt;='Start Here'!$B$11,TRUE)),"Review","OK"))</f>
        <v/>
      </c>
      <c r="R55" s="14" t="str">
        <f>IF(B55="","",IF(OR(O55&lt;&gt;"OK",P55&lt;&gt;"OK",Q55&lt;&gt;"OK"),"Review","Complete"))</f>
        <v/>
      </c>
      <c r="S55" s="14" t="str">
        <f>IF('Start Here'!$B$8="Paste Import",'Paste Import'!J55,'Manual Input'!J55)</f>
        <v/>
      </c>
    </row>
    <row r="56" spans="1:19" x14ac:dyDescent="0.25">
      <c r="A56" s="14" t="str">
        <f>IF('Start Here'!$B$8="Paste Import",'Paste Import'!A56,'Manual Input'!A56)</f>
        <v/>
      </c>
      <c r="B56" s="14" t="str">
        <f>IF('Start Here'!$B$8="Paste Import",'Paste Import'!B56,'Manual Input'!B56)</f>
        <v/>
      </c>
      <c r="C56" s="14" t="str">
        <f>IF('Start Here'!$B$8="Paste Import",'Paste Import'!C56,'Manual Input'!C56)</f>
        <v/>
      </c>
      <c r="D56" s="15" t="str">
        <f>IF('Start Here'!$B$8="Paste Import",'Paste Import'!D56,'Manual Input'!D56)</f>
        <v/>
      </c>
      <c r="E56" s="15" t="str">
        <f>IF('Start Here'!$B$8="Paste Import",'Paste Import'!E56,'Manual Input'!E56)</f>
        <v/>
      </c>
      <c r="F56" s="15" t="str">
        <f>IF('Start Here'!$B$8="Paste Import",'Paste Import'!F56,'Manual Input'!F56)</f>
        <v/>
      </c>
      <c r="G56" s="15" t="str">
        <f>IF('Start Here'!$B$8="Paste Import",'Paste Import'!G56,'Manual Input'!G56)</f>
        <v/>
      </c>
      <c r="H56" s="15" t="str">
        <f>IF(B56="","",D56-E56)</f>
        <v/>
      </c>
      <c r="I56" s="15" t="str">
        <f>IF(B56="","",F56-G56)</f>
        <v/>
      </c>
      <c r="J56" s="15" t="str">
        <f>IF(B56="","",H56-I56)</f>
        <v/>
      </c>
      <c r="K56" s="16" t="str">
        <f>IF(B56="","",IF(I56=0,IF(H56=0,"","New"),J56/ABS(I56)))</f>
        <v/>
      </c>
      <c r="L56" s="14" t="str">
        <f>IF('Start Here'!$B$8="Paste Import",'Paste Import'!H56,'Manual Input'!H56)</f>
        <v/>
      </c>
      <c r="M56" s="15" t="str">
        <f>IF('Start Here'!$B$8="Paste Import",'Paste Import'!I56,'Manual Input'!I56)</f>
        <v/>
      </c>
      <c r="N56" s="15" t="str">
        <f>IF(B56="","",H56+M56)</f>
        <v/>
      </c>
      <c r="O56" s="14" t="str">
        <f>IF(B56="","",IF(OR(C56="",L56=""),"Unmapped","OK"))</f>
        <v/>
      </c>
      <c r="P56" s="14" t="str">
        <f>IF(B56="","",IF(OR(AND(OR(C56="Asset",C56="Expense"),H56&lt;0),AND(OR(C56="Liability",C56="Equity",C56="Revenue"),H56&gt;0)),"Unusual","OK"))</f>
        <v/>
      </c>
      <c r="Q56" s="14" t="str">
        <f>IF(B56="","",IF(AND(ABS(J56)&gt;='Start Here'!$B$10,IFERROR(ABS(K56)&gt;='Start Here'!$B$11,TRUE)),"Review","OK"))</f>
        <v/>
      </c>
      <c r="R56" s="14" t="str">
        <f>IF(B56="","",IF(OR(O56&lt;&gt;"OK",P56&lt;&gt;"OK",Q56&lt;&gt;"OK"),"Review","Complete"))</f>
        <v/>
      </c>
      <c r="S56" s="14" t="str">
        <f>IF('Start Here'!$B$8="Paste Import",'Paste Import'!J56,'Manual Input'!J56)</f>
        <v/>
      </c>
    </row>
    <row r="57" spans="1:19" x14ac:dyDescent="0.25">
      <c r="A57" s="14" t="str">
        <f>IF('Start Here'!$B$8="Paste Import",'Paste Import'!A57,'Manual Input'!A57)</f>
        <v/>
      </c>
      <c r="B57" s="14" t="str">
        <f>IF('Start Here'!$B$8="Paste Import",'Paste Import'!B57,'Manual Input'!B57)</f>
        <v/>
      </c>
      <c r="C57" s="14" t="str">
        <f>IF('Start Here'!$B$8="Paste Import",'Paste Import'!C57,'Manual Input'!C57)</f>
        <v/>
      </c>
      <c r="D57" s="15" t="str">
        <f>IF('Start Here'!$B$8="Paste Import",'Paste Import'!D57,'Manual Input'!D57)</f>
        <v/>
      </c>
      <c r="E57" s="15" t="str">
        <f>IF('Start Here'!$B$8="Paste Import",'Paste Import'!E57,'Manual Input'!E57)</f>
        <v/>
      </c>
      <c r="F57" s="15" t="str">
        <f>IF('Start Here'!$B$8="Paste Import",'Paste Import'!F57,'Manual Input'!F57)</f>
        <v/>
      </c>
      <c r="G57" s="15" t="str">
        <f>IF('Start Here'!$B$8="Paste Import",'Paste Import'!G57,'Manual Input'!G57)</f>
        <v/>
      </c>
      <c r="H57" s="15" t="str">
        <f>IF(B57="","",D57-E57)</f>
        <v/>
      </c>
      <c r="I57" s="15" t="str">
        <f>IF(B57="","",F57-G57)</f>
        <v/>
      </c>
      <c r="J57" s="15" t="str">
        <f>IF(B57="","",H57-I57)</f>
        <v/>
      </c>
      <c r="K57" s="16" t="str">
        <f>IF(B57="","",IF(I57=0,IF(H57=0,"","New"),J57/ABS(I57)))</f>
        <v/>
      </c>
      <c r="L57" s="14" t="str">
        <f>IF('Start Here'!$B$8="Paste Import",'Paste Import'!H57,'Manual Input'!H57)</f>
        <v/>
      </c>
      <c r="M57" s="15" t="str">
        <f>IF('Start Here'!$B$8="Paste Import",'Paste Import'!I57,'Manual Input'!I57)</f>
        <v/>
      </c>
      <c r="N57" s="15" t="str">
        <f>IF(B57="","",H57+M57)</f>
        <v/>
      </c>
      <c r="O57" s="14" t="str">
        <f>IF(B57="","",IF(OR(C57="",L57=""),"Unmapped","OK"))</f>
        <v/>
      </c>
      <c r="P57" s="14" t="str">
        <f>IF(B57="","",IF(OR(AND(OR(C57="Asset",C57="Expense"),H57&lt;0),AND(OR(C57="Liability",C57="Equity",C57="Revenue"),H57&gt;0)),"Unusual","OK"))</f>
        <v/>
      </c>
      <c r="Q57" s="14" t="str">
        <f>IF(B57="","",IF(AND(ABS(J57)&gt;='Start Here'!$B$10,IFERROR(ABS(K57)&gt;='Start Here'!$B$11,TRUE)),"Review","OK"))</f>
        <v/>
      </c>
      <c r="R57" s="14" t="str">
        <f>IF(B57="","",IF(OR(O57&lt;&gt;"OK",P57&lt;&gt;"OK",Q57&lt;&gt;"OK"),"Review","Complete"))</f>
        <v/>
      </c>
      <c r="S57" s="14" t="str">
        <f>IF('Start Here'!$B$8="Paste Import",'Paste Import'!J57,'Manual Input'!J57)</f>
        <v/>
      </c>
    </row>
    <row r="58" spans="1:19" x14ac:dyDescent="0.25">
      <c r="A58" s="14" t="str">
        <f>IF('Start Here'!$B$8="Paste Import",'Paste Import'!A58,'Manual Input'!A58)</f>
        <v/>
      </c>
      <c r="B58" s="14" t="str">
        <f>IF('Start Here'!$B$8="Paste Import",'Paste Import'!B58,'Manual Input'!B58)</f>
        <v/>
      </c>
      <c r="C58" s="14" t="str">
        <f>IF('Start Here'!$B$8="Paste Import",'Paste Import'!C58,'Manual Input'!C58)</f>
        <v/>
      </c>
      <c r="D58" s="15" t="str">
        <f>IF('Start Here'!$B$8="Paste Import",'Paste Import'!D58,'Manual Input'!D58)</f>
        <v/>
      </c>
      <c r="E58" s="15" t="str">
        <f>IF('Start Here'!$B$8="Paste Import",'Paste Import'!E58,'Manual Input'!E58)</f>
        <v/>
      </c>
      <c r="F58" s="15" t="str">
        <f>IF('Start Here'!$B$8="Paste Import",'Paste Import'!F58,'Manual Input'!F58)</f>
        <v/>
      </c>
      <c r="G58" s="15" t="str">
        <f>IF('Start Here'!$B$8="Paste Import",'Paste Import'!G58,'Manual Input'!G58)</f>
        <v/>
      </c>
      <c r="H58" s="15" t="str">
        <f>IF(B58="","",D58-E58)</f>
        <v/>
      </c>
      <c r="I58" s="15" t="str">
        <f>IF(B58="","",F58-G58)</f>
        <v/>
      </c>
      <c r="J58" s="15" t="str">
        <f>IF(B58="","",H58-I58)</f>
        <v/>
      </c>
      <c r="K58" s="16" t="str">
        <f>IF(B58="","",IF(I58=0,IF(H58=0,"","New"),J58/ABS(I58)))</f>
        <v/>
      </c>
      <c r="L58" s="14" t="str">
        <f>IF('Start Here'!$B$8="Paste Import",'Paste Import'!H58,'Manual Input'!H58)</f>
        <v/>
      </c>
      <c r="M58" s="15" t="str">
        <f>IF('Start Here'!$B$8="Paste Import",'Paste Import'!I58,'Manual Input'!I58)</f>
        <v/>
      </c>
      <c r="N58" s="15" t="str">
        <f>IF(B58="","",H58+M58)</f>
        <v/>
      </c>
      <c r="O58" s="14" t="str">
        <f>IF(B58="","",IF(OR(C58="",L58=""),"Unmapped","OK"))</f>
        <v/>
      </c>
      <c r="P58" s="14" t="str">
        <f>IF(B58="","",IF(OR(AND(OR(C58="Asset",C58="Expense"),H58&lt;0),AND(OR(C58="Liability",C58="Equity",C58="Revenue"),H58&gt;0)),"Unusual","OK"))</f>
        <v/>
      </c>
      <c r="Q58" s="14" t="str">
        <f>IF(B58="","",IF(AND(ABS(J58)&gt;='Start Here'!$B$10,IFERROR(ABS(K58)&gt;='Start Here'!$B$11,TRUE)),"Review","OK"))</f>
        <v/>
      </c>
      <c r="R58" s="14" t="str">
        <f>IF(B58="","",IF(OR(O58&lt;&gt;"OK",P58&lt;&gt;"OK",Q58&lt;&gt;"OK"),"Review","Complete"))</f>
        <v/>
      </c>
      <c r="S58" s="14" t="str">
        <f>IF('Start Here'!$B$8="Paste Import",'Paste Import'!J58,'Manual Input'!J58)</f>
        <v/>
      </c>
    </row>
    <row r="59" spans="1:19" x14ac:dyDescent="0.25">
      <c r="A59" s="14" t="str">
        <f>IF('Start Here'!$B$8="Paste Import",'Paste Import'!A59,'Manual Input'!A59)</f>
        <v/>
      </c>
      <c r="B59" s="14" t="str">
        <f>IF('Start Here'!$B$8="Paste Import",'Paste Import'!B59,'Manual Input'!B59)</f>
        <v/>
      </c>
      <c r="C59" s="14" t="str">
        <f>IF('Start Here'!$B$8="Paste Import",'Paste Import'!C59,'Manual Input'!C59)</f>
        <v/>
      </c>
      <c r="D59" s="15" t="str">
        <f>IF('Start Here'!$B$8="Paste Import",'Paste Import'!D59,'Manual Input'!D59)</f>
        <v/>
      </c>
      <c r="E59" s="15" t="str">
        <f>IF('Start Here'!$B$8="Paste Import",'Paste Import'!E59,'Manual Input'!E59)</f>
        <v/>
      </c>
      <c r="F59" s="15" t="str">
        <f>IF('Start Here'!$B$8="Paste Import",'Paste Import'!F59,'Manual Input'!F59)</f>
        <v/>
      </c>
      <c r="G59" s="15" t="str">
        <f>IF('Start Here'!$B$8="Paste Import",'Paste Import'!G59,'Manual Input'!G59)</f>
        <v/>
      </c>
      <c r="H59" s="15" t="str">
        <f>IF(B59="","",D59-E59)</f>
        <v/>
      </c>
      <c r="I59" s="15" t="str">
        <f>IF(B59="","",F59-G59)</f>
        <v/>
      </c>
      <c r="J59" s="15" t="str">
        <f>IF(B59="","",H59-I59)</f>
        <v/>
      </c>
      <c r="K59" s="16" t="str">
        <f>IF(B59="","",IF(I59=0,IF(H59=0,"","New"),J59/ABS(I59)))</f>
        <v/>
      </c>
      <c r="L59" s="14" t="str">
        <f>IF('Start Here'!$B$8="Paste Import",'Paste Import'!H59,'Manual Input'!H59)</f>
        <v/>
      </c>
      <c r="M59" s="15" t="str">
        <f>IF('Start Here'!$B$8="Paste Import",'Paste Import'!I59,'Manual Input'!I59)</f>
        <v/>
      </c>
      <c r="N59" s="15" t="str">
        <f>IF(B59="","",H59+M59)</f>
        <v/>
      </c>
      <c r="O59" s="14" t="str">
        <f>IF(B59="","",IF(OR(C59="",L59=""),"Unmapped","OK"))</f>
        <v/>
      </c>
      <c r="P59" s="14" t="str">
        <f>IF(B59="","",IF(OR(AND(OR(C59="Asset",C59="Expense"),H59&lt;0),AND(OR(C59="Liability",C59="Equity",C59="Revenue"),H59&gt;0)),"Unusual","OK"))</f>
        <v/>
      </c>
      <c r="Q59" s="14" t="str">
        <f>IF(B59="","",IF(AND(ABS(J59)&gt;='Start Here'!$B$10,IFERROR(ABS(K59)&gt;='Start Here'!$B$11,TRUE)),"Review","OK"))</f>
        <v/>
      </c>
      <c r="R59" s="14" t="str">
        <f>IF(B59="","",IF(OR(O59&lt;&gt;"OK",P59&lt;&gt;"OK",Q59&lt;&gt;"OK"),"Review","Complete"))</f>
        <v/>
      </c>
      <c r="S59" s="14" t="str">
        <f>IF('Start Here'!$B$8="Paste Import",'Paste Import'!J59,'Manual Input'!J59)</f>
        <v/>
      </c>
    </row>
    <row r="60" spans="1:19" x14ac:dyDescent="0.25">
      <c r="A60" s="14" t="str">
        <f>IF('Start Here'!$B$8="Paste Import",'Paste Import'!A60,'Manual Input'!A60)</f>
        <v/>
      </c>
      <c r="B60" s="14" t="str">
        <f>IF('Start Here'!$B$8="Paste Import",'Paste Import'!B60,'Manual Input'!B60)</f>
        <v/>
      </c>
      <c r="C60" s="14" t="str">
        <f>IF('Start Here'!$B$8="Paste Import",'Paste Import'!C60,'Manual Input'!C60)</f>
        <v/>
      </c>
      <c r="D60" s="15" t="str">
        <f>IF('Start Here'!$B$8="Paste Import",'Paste Import'!D60,'Manual Input'!D60)</f>
        <v/>
      </c>
      <c r="E60" s="15" t="str">
        <f>IF('Start Here'!$B$8="Paste Import",'Paste Import'!E60,'Manual Input'!E60)</f>
        <v/>
      </c>
      <c r="F60" s="15" t="str">
        <f>IF('Start Here'!$B$8="Paste Import",'Paste Import'!F60,'Manual Input'!F60)</f>
        <v/>
      </c>
      <c r="G60" s="15" t="str">
        <f>IF('Start Here'!$B$8="Paste Import",'Paste Import'!G60,'Manual Input'!G60)</f>
        <v/>
      </c>
      <c r="H60" s="15" t="str">
        <f>IF(B60="","",D60-E60)</f>
        <v/>
      </c>
      <c r="I60" s="15" t="str">
        <f>IF(B60="","",F60-G60)</f>
        <v/>
      </c>
      <c r="J60" s="15" t="str">
        <f>IF(B60="","",H60-I60)</f>
        <v/>
      </c>
      <c r="K60" s="16" t="str">
        <f>IF(B60="","",IF(I60=0,IF(H60=0,"","New"),J60/ABS(I60)))</f>
        <v/>
      </c>
      <c r="L60" s="14" t="str">
        <f>IF('Start Here'!$B$8="Paste Import",'Paste Import'!H60,'Manual Input'!H60)</f>
        <v/>
      </c>
      <c r="M60" s="15" t="str">
        <f>IF('Start Here'!$B$8="Paste Import",'Paste Import'!I60,'Manual Input'!I60)</f>
        <v/>
      </c>
      <c r="N60" s="15" t="str">
        <f>IF(B60="","",H60+M60)</f>
        <v/>
      </c>
      <c r="O60" s="14" t="str">
        <f>IF(B60="","",IF(OR(C60="",L60=""),"Unmapped","OK"))</f>
        <v/>
      </c>
      <c r="P60" s="14" t="str">
        <f>IF(B60="","",IF(OR(AND(OR(C60="Asset",C60="Expense"),H60&lt;0),AND(OR(C60="Liability",C60="Equity",C60="Revenue"),H60&gt;0)),"Unusual","OK"))</f>
        <v/>
      </c>
      <c r="Q60" s="14" t="str">
        <f>IF(B60="","",IF(AND(ABS(J60)&gt;='Start Here'!$B$10,IFERROR(ABS(K60)&gt;='Start Here'!$B$11,TRUE)),"Review","OK"))</f>
        <v/>
      </c>
      <c r="R60" s="14" t="str">
        <f>IF(B60="","",IF(OR(O60&lt;&gt;"OK",P60&lt;&gt;"OK",Q60&lt;&gt;"OK"),"Review","Complete"))</f>
        <v/>
      </c>
      <c r="S60" s="14" t="str">
        <f>IF('Start Here'!$B$8="Paste Import",'Paste Import'!J60,'Manual Input'!J60)</f>
        <v/>
      </c>
    </row>
    <row r="61" spans="1:19" x14ac:dyDescent="0.25">
      <c r="A61" s="14" t="str">
        <f>IF('Start Here'!$B$8="Paste Import",'Paste Import'!A61,'Manual Input'!A61)</f>
        <v/>
      </c>
      <c r="B61" s="14" t="str">
        <f>IF('Start Here'!$B$8="Paste Import",'Paste Import'!B61,'Manual Input'!B61)</f>
        <v/>
      </c>
      <c r="C61" s="14" t="str">
        <f>IF('Start Here'!$B$8="Paste Import",'Paste Import'!C61,'Manual Input'!C61)</f>
        <v/>
      </c>
      <c r="D61" s="15" t="str">
        <f>IF('Start Here'!$B$8="Paste Import",'Paste Import'!D61,'Manual Input'!D61)</f>
        <v/>
      </c>
      <c r="E61" s="15" t="str">
        <f>IF('Start Here'!$B$8="Paste Import",'Paste Import'!E61,'Manual Input'!E61)</f>
        <v/>
      </c>
      <c r="F61" s="15" t="str">
        <f>IF('Start Here'!$B$8="Paste Import",'Paste Import'!F61,'Manual Input'!F61)</f>
        <v/>
      </c>
      <c r="G61" s="15" t="str">
        <f>IF('Start Here'!$B$8="Paste Import",'Paste Import'!G61,'Manual Input'!G61)</f>
        <v/>
      </c>
      <c r="H61" s="15" t="str">
        <f>IF(B61="","",D61-E61)</f>
        <v/>
      </c>
      <c r="I61" s="15" t="str">
        <f>IF(B61="","",F61-G61)</f>
        <v/>
      </c>
      <c r="J61" s="15" t="str">
        <f>IF(B61="","",H61-I61)</f>
        <v/>
      </c>
      <c r="K61" s="16" t="str">
        <f>IF(B61="","",IF(I61=0,IF(H61=0,"","New"),J61/ABS(I61)))</f>
        <v/>
      </c>
      <c r="L61" s="14" t="str">
        <f>IF('Start Here'!$B$8="Paste Import",'Paste Import'!H61,'Manual Input'!H61)</f>
        <v/>
      </c>
      <c r="M61" s="15" t="str">
        <f>IF('Start Here'!$B$8="Paste Import",'Paste Import'!I61,'Manual Input'!I61)</f>
        <v/>
      </c>
      <c r="N61" s="15" t="str">
        <f>IF(B61="","",H61+M61)</f>
        <v/>
      </c>
      <c r="O61" s="14" t="str">
        <f>IF(B61="","",IF(OR(C61="",L61=""),"Unmapped","OK"))</f>
        <v/>
      </c>
      <c r="P61" s="14" t="str">
        <f>IF(B61="","",IF(OR(AND(OR(C61="Asset",C61="Expense"),H61&lt;0),AND(OR(C61="Liability",C61="Equity",C61="Revenue"),H61&gt;0)),"Unusual","OK"))</f>
        <v/>
      </c>
      <c r="Q61" s="14" t="str">
        <f>IF(B61="","",IF(AND(ABS(J61)&gt;='Start Here'!$B$10,IFERROR(ABS(K61)&gt;='Start Here'!$B$11,TRUE)),"Review","OK"))</f>
        <v/>
      </c>
      <c r="R61" s="14" t="str">
        <f>IF(B61="","",IF(OR(O61&lt;&gt;"OK",P61&lt;&gt;"OK",Q61&lt;&gt;"OK"),"Review","Complete"))</f>
        <v/>
      </c>
      <c r="S61" s="14" t="str">
        <f>IF('Start Here'!$B$8="Paste Import",'Paste Import'!J61,'Manual Input'!J61)</f>
        <v/>
      </c>
    </row>
    <row r="62" spans="1:19" x14ac:dyDescent="0.25">
      <c r="A62" s="14" t="str">
        <f>IF('Start Here'!$B$8="Paste Import",'Paste Import'!A62,'Manual Input'!A62)</f>
        <v/>
      </c>
      <c r="B62" s="14" t="str">
        <f>IF('Start Here'!$B$8="Paste Import",'Paste Import'!B62,'Manual Input'!B62)</f>
        <v/>
      </c>
      <c r="C62" s="14" t="str">
        <f>IF('Start Here'!$B$8="Paste Import",'Paste Import'!C62,'Manual Input'!C62)</f>
        <v/>
      </c>
      <c r="D62" s="15" t="str">
        <f>IF('Start Here'!$B$8="Paste Import",'Paste Import'!D62,'Manual Input'!D62)</f>
        <v/>
      </c>
      <c r="E62" s="15" t="str">
        <f>IF('Start Here'!$B$8="Paste Import",'Paste Import'!E62,'Manual Input'!E62)</f>
        <v/>
      </c>
      <c r="F62" s="15" t="str">
        <f>IF('Start Here'!$B$8="Paste Import",'Paste Import'!F62,'Manual Input'!F62)</f>
        <v/>
      </c>
      <c r="G62" s="15" t="str">
        <f>IF('Start Here'!$B$8="Paste Import",'Paste Import'!G62,'Manual Input'!G62)</f>
        <v/>
      </c>
      <c r="H62" s="15" t="str">
        <f>IF(B62="","",D62-E62)</f>
        <v/>
      </c>
      <c r="I62" s="15" t="str">
        <f>IF(B62="","",F62-G62)</f>
        <v/>
      </c>
      <c r="J62" s="15" t="str">
        <f>IF(B62="","",H62-I62)</f>
        <v/>
      </c>
      <c r="K62" s="16" t="str">
        <f>IF(B62="","",IF(I62=0,IF(H62=0,"","New"),J62/ABS(I62)))</f>
        <v/>
      </c>
      <c r="L62" s="14" t="str">
        <f>IF('Start Here'!$B$8="Paste Import",'Paste Import'!H62,'Manual Input'!H62)</f>
        <v/>
      </c>
      <c r="M62" s="15" t="str">
        <f>IF('Start Here'!$B$8="Paste Import",'Paste Import'!I62,'Manual Input'!I62)</f>
        <v/>
      </c>
      <c r="N62" s="15" t="str">
        <f>IF(B62="","",H62+M62)</f>
        <v/>
      </c>
      <c r="O62" s="14" t="str">
        <f>IF(B62="","",IF(OR(C62="",L62=""),"Unmapped","OK"))</f>
        <v/>
      </c>
      <c r="P62" s="14" t="str">
        <f>IF(B62="","",IF(OR(AND(OR(C62="Asset",C62="Expense"),H62&lt;0),AND(OR(C62="Liability",C62="Equity",C62="Revenue"),H62&gt;0)),"Unusual","OK"))</f>
        <v/>
      </c>
      <c r="Q62" s="14" t="str">
        <f>IF(B62="","",IF(AND(ABS(J62)&gt;='Start Here'!$B$10,IFERROR(ABS(K62)&gt;='Start Here'!$B$11,TRUE)),"Review","OK"))</f>
        <v/>
      </c>
      <c r="R62" s="14" t="str">
        <f>IF(B62="","",IF(OR(O62&lt;&gt;"OK",P62&lt;&gt;"OK",Q62&lt;&gt;"OK"),"Review","Complete"))</f>
        <v/>
      </c>
      <c r="S62" s="14" t="str">
        <f>IF('Start Here'!$B$8="Paste Import",'Paste Import'!J62,'Manual Input'!J62)</f>
        <v/>
      </c>
    </row>
    <row r="63" spans="1:19" x14ac:dyDescent="0.25">
      <c r="A63" s="14" t="str">
        <f>IF('Start Here'!$B$8="Paste Import",'Paste Import'!A63,'Manual Input'!A63)</f>
        <v/>
      </c>
      <c r="B63" s="14" t="str">
        <f>IF('Start Here'!$B$8="Paste Import",'Paste Import'!B63,'Manual Input'!B63)</f>
        <v/>
      </c>
      <c r="C63" s="14" t="str">
        <f>IF('Start Here'!$B$8="Paste Import",'Paste Import'!C63,'Manual Input'!C63)</f>
        <v/>
      </c>
      <c r="D63" s="15" t="str">
        <f>IF('Start Here'!$B$8="Paste Import",'Paste Import'!D63,'Manual Input'!D63)</f>
        <v/>
      </c>
      <c r="E63" s="15" t="str">
        <f>IF('Start Here'!$B$8="Paste Import",'Paste Import'!E63,'Manual Input'!E63)</f>
        <v/>
      </c>
      <c r="F63" s="15" t="str">
        <f>IF('Start Here'!$B$8="Paste Import",'Paste Import'!F63,'Manual Input'!F63)</f>
        <v/>
      </c>
      <c r="G63" s="15" t="str">
        <f>IF('Start Here'!$B$8="Paste Import",'Paste Import'!G63,'Manual Input'!G63)</f>
        <v/>
      </c>
      <c r="H63" s="15" t="str">
        <f>IF(B63="","",D63-E63)</f>
        <v/>
      </c>
      <c r="I63" s="15" t="str">
        <f>IF(B63="","",F63-G63)</f>
        <v/>
      </c>
      <c r="J63" s="15" t="str">
        <f>IF(B63="","",H63-I63)</f>
        <v/>
      </c>
      <c r="K63" s="16" t="str">
        <f>IF(B63="","",IF(I63=0,IF(H63=0,"","New"),J63/ABS(I63)))</f>
        <v/>
      </c>
      <c r="L63" s="14" t="str">
        <f>IF('Start Here'!$B$8="Paste Import",'Paste Import'!H63,'Manual Input'!H63)</f>
        <v/>
      </c>
      <c r="M63" s="15" t="str">
        <f>IF('Start Here'!$B$8="Paste Import",'Paste Import'!I63,'Manual Input'!I63)</f>
        <v/>
      </c>
      <c r="N63" s="15" t="str">
        <f>IF(B63="","",H63+M63)</f>
        <v/>
      </c>
      <c r="O63" s="14" t="str">
        <f>IF(B63="","",IF(OR(C63="",L63=""),"Unmapped","OK"))</f>
        <v/>
      </c>
      <c r="P63" s="14" t="str">
        <f>IF(B63="","",IF(OR(AND(OR(C63="Asset",C63="Expense"),H63&lt;0),AND(OR(C63="Liability",C63="Equity",C63="Revenue"),H63&gt;0)),"Unusual","OK"))</f>
        <v/>
      </c>
      <c r="Q63" s="14" t="str">
        <f>IF(B63="","",IF(AND(ABS(J63)&gt;='Start Here'!$B$10,IFERROR(ABS(K63)&gt;='Start Here'!$B$11,TRUE)),"Review","OK"))</f>
        <v/>
      </c>
      <c r="R63" s="14" t="str">
        <f>IF(B63="","",IF(OR(O63&lt;&gt;"OK",P63&lt;&gt;"OK",Q63&lt;&gt;"OK"),"Review","Complete"))</f>
        <v/>
      </c>
      <c r="S63" s="14" t="str">
        <f>IF('Start Here'!$B$8="Paste Import",'Paste Import'!J63,'Manual Input'!J63)</f>
        <v/>
      </c>
    </row>
    <row r="64" spans="1:19" x14ac:dyDescent="0.25">
      <c r="A64" s="14" t="str">
        <f>IF('Start Here'!$B$8="Paste Import",'Paste Import'!A64,'Manual Input'!A64)</f>
        <v/>
      </c>
      <c r="B64" s="14" t="str">
        <f>IF('Start Here'!$B$8="Paste Import",'Paste Import'!B64,'Manual Input'!B64)</f>
        <v/>
      </c>
      <c r="C64" s="14" t="str">
        <f>IF('Start Here'!$B$8="Paste Import",'Paste Import'!C64,'Manual Input'!C64)</f>
        <v/>
      </c>
      <c r="D64" s="15" t="str">
        <f>IF('Start Here'!$B$8="Paste Import",'Paste Import'!D64,'Manual Input'!D64)</f>
        <v/>
      </c>
      <c r="E64" s="15" t="str">
        <f>IF('Start Here'!$B$8="Paste Import",'Paste Import'!E64,'Manual Input'!E64)</f>
        <v/>
      </c>
      <c r="F64" s="15" t="str">
        <f>IF('Start Here'!$B$8="Paste Import",'Paste Import'!F64,'Manual Input'!F64)</f>
        <v/>
      </c>
      <c r="G64" s="15" t="str">
        <f>IF('Start Here'!$B$8="Paste Import",'Paste Import'!G64,'Manual Input'!G64)</f>
        <v/>
      </c>
      <c r="H64" s="15" t="str">
        <f>IF(B64="","",D64-E64)</f>
        <v/>
      </c>
      <c r="I64" s="15" t="str">
        <f>IF(B64="","",F64-G64)</f>
        <v/>
      </c>
      <c r="J64" s="15" t="str">
        <f>IF(B64="","",H64-I64)</f>
        <v/>
      </c>
      <c r="K64" s="16" t="str">
        <f>IF(B64="","",IF(I64=0,IF(H64=0,"","New"),J64/ABS(I64)))</f>
        <v/>
      </c>
      <c r="L64" s="14" t="str">
        <f>IF('Start Here'!$B$8="Paste Import",'Paste Import'!H64,'Manual Input'!H64)</f>
        <v/>
      </c>
      <c r="M64" s="15" t="str">
        <f>IF('Start Here'!$B$8="Paste Import",'Paste Import'!I64,'Manual Input'!I64)</f>
        <v/>
      </c>
      <c r="N64" s="15" t="str">
        <f>IF(B64="","",H64+M64)</f>
        <v/>
      </c>
      <c r="O64" s="14" t="str">
        <f>IF(B64="","",IF(OR(C64="",L64=""),"Unmapped","OK"))</f>
        <v/>
      </c>
      <c r="P64" s="14" t="str">
        <f>IF(B64="","",IF(OR(AND(OR(C64="Asset",C64="Expense"),H64&lt;0),AND(OR(C64="Liability",C64="Equity",C64="Revenue"),H64&gt;0)),"Unusual","OK"))</f>
        <v/>
      </c>
      <c r="Q64" s="14" t="str">
        <f>IF(B64="","",IF(AND(ABS(J64)&gt;='Start Here'!$B$10,IFERROR(ABS(K64)&gt;='Start Here'!$B$11,TRUE)),"Review","OK"))</f>
        <v/>
      </c>
      <c r="R64" s="14" t="str">
        <f>IF(B64="","",IF(OR(O64&lt;&gt;"OK",P64&lt;&gt;"OK",Q64&lt;&gt;"OK"),"Review","Complete"))</f>
        <v/>
      </c>
      <c r="S64" s="14" t="str">
        <f>IF('Start Here'!$B$8="Paste Import",'Paste Import'!J64,'Manual Input'!J64)</f>
        <v/>
      </c>
    </row>
    <row r="65" spans="1:19" x14ac:dyDescent="0.25">
      <c r="A65" s="14" t="str">
        <f>IF('Start Here'!$B$8="Paste Import",'Paste Import'!A65,'Manual Input'!A65)</f>
        <v/>
      </c>
      <c r="B65" s="14" t="str">
        <f>IF('Start Here'!$B$8="Paste Import",'Paste Import'!B65,'Manual Input'!B65)</f>
        <v/>
      </c>
      <c r="C65" s="14" t="str">
        <f>IF('Start Here'!$B$8="Paste Import",'Paste Import'!C65,'Manual Input'!C65)</f>
        <v/>
      </c>
      <c r="D65" s="15" t="str">
        <f>IF('Start Here'!$B$8="Paste Import",'Paste Import'!D65,'Manual Input'!D65)</f>
        <v/>
      </c>
      <c r="E65" s="15" t="str">
        <f>IF('Start Here'!$B$8="Paste Import",'Paste Import'!E65,'Manual Input'!E65)</f>
        <v/>
      </c>
      <c r="F65" s="15" t="str">
        <f>IF('Start Here'!$B$8="Paste Import",'Paste Import'!F65,'Manual Input'!F65)</f>
        <v/>
      </c>
      <c r="G65" s="15" t="str">
        <f>IF('Start Here'!$B$8="Paste Import",'Paste Import'!G65,'Manual Input'!G65)</f>
        <v/>
      </c>
      <c r="H65" s="15" t="str">
        <f>IF(B65="","",D65-E65)</f>
        <v/>
      </c>
      <c r="I65" s="15" t="str">
        <f>IF(B65="","",F65-G65)</f>
        <v/>
      </c>
      <c r="J65" s="15" t="str">
        <f>IF(B65="","",H65-I65)</f>
        <v/>
      </c>
      <c r="K65" s="16" t="str">
        <f>IF(B65="","",IF(I65=0,IF(H65=0,"","New"),J65/ABS(I65)))</f>
        <v/>
      </c>
      <c r="L65" s="14" t="str">
        <f>IF('Start Here'!$B$8="Paste Import",'Paste Import'!H65,'Manual Input'!H65)</f>
        <v/>
      </c>
      <c r="M65" s="15" t="str">
        <f>IF('Start Here'!$B$8="Paste Import",'Paste Import'!I65,'Manual Input'!I65)</f>
        <v/>
      </c>
      <c r="N65" s="15" t="str">
        <f>IF(B65="","",H65+M65)</f>
        <v/>
      </c>
      <c r="O65" s="14" t="str">
        <f>IF(B65="","",IF(OR(C65="",L65=""),"Unmapped","OK"))</f>
        <v/>
      </c>
      <c r="P65" s="14" t="str">
        <f>IF(B65="","",IF(OR(AND(OR(C65="Asset",C65="Expense"),H65&lt;0),AND(OR(C65="Liability",C65="Equity",C65="Revenue"),H65&gt;0)),"Unusual","OK"))</f>
        <v/>
      </c>
      <c r="Q65" s="14" t="str">
        <f>IF(B65="","",IF(AND(ABS(J65)&gt;='Start Here'!$B$10,IFERROR(ABS(K65)&gt;='Start Here'!$B$11,TRUE)),"Review","OK"))</f>
        <v/>
      </c>
      <c r="R65" s="14" t="str">
        <f>IF(B65="","",IF(OR(O65&lt;&gt;"OK",P65&lt;&gt;"OK",Q65&lt;&gt;"OK"),"Review","Complete"))</f>
        <v/>
      </c>
      <c r="S65" s="14" t="str">
        <f>IF('Start Here'!$B$8="Paste Import",'Paste Import'!J65,'Manual Input'!J65)</f>
        <v/>
      </c>
    </row>
    <row r="66" spans="1:19" x14ac:dyDescent="0.25">
      <c r="A66" s="14" t="str">
        <f>IF('Start Here'!$B$8="Paste Import",'Paste Import'!A66,'Manual Input'!A66)</f>
        <v/>
      </c>
      <c r="B66" s="14" t="str">
        <f>IF('Start Here'!$B$8="Paste Import",'Paste Import'!B66,'Manual Input'!B66)</f>
        <v/>
      </c>
      <c r="C66" s="14" t="str">
        <f>IF('Start Here'!$B$8="Paste Import",'Paste Import'!C66,'Manual Input'!C66)</f>
        <v/>
      </c>
      <c r="D66" s="15" t="str">
        <f>IF('Start Here'!$B$8="Paste Import",'Paste Import'!D66,'Manual Input'!D66)</f>
        <v/>
      </c>
      <c r="E66" s="15" t="str">
        <f>IF('Start Here'!$B$8="Paste Import",'Paste Import'!E66,'Manual Input'!E66)</f>
        <v/>
      </c>
      <c r="F66" s="15" t="str">
        <f>IF('Start Here'!$B$8="Paste Import",'Paste Import'!F66,'Manual Input'!F66)</f>
        <v/>
      </c>
      <c r="G66" s="15" t="str">
        <f>IF('Start Here'!$B$8="Paste Import",'Paste Import'!G66,'Manual Input'!G66)</f>
        <v/>
      </c>
      <c r="H66" s="15" t="str">
        <f>IF(B66="","",D66-E66)</f>
        <v/>
      </c>
      <c r="I66" s="15" t="str">
        <f>IF(B66="","",F66-G66)</f>
        <v/>
      </c>
      <c r="J66" s="15" t="str">
        <f>IF(B66="","",H66-I66)</f>
        <v/>
      </c>
      <c r="K66" s="16" t="str">
        <f>IF(B66="","",IF(I66=0,IF(H66=0,"","New"),J66/ABS(I66)))</f>
        <v/>
      </c>
      <c r="L66" s="14" t="str">
        <f>IF('Start Here'!$B$8="Paste Import",'Paste Import'!H66,'Manual Input'!H66)</f>
        <v/>
      </c>
      <c r="M66" s="15" t="str">
        <f>IF('Start Here'!$B$8="Paste Import",'Paste Import'!I66,'Manual Input'!I66)</f>
        <v/>
      </c>
      <c r="N66" s="15" t="str">
        <f>IF(B66="","",H66+M66)</f>
        <v/>
      </c>
      <c r="O66" s="14" t="str">
        <f>IF(B66="","",IF(OR(C66="",L66=""),"Unmapped","OK"))</f>
        <v/>
      </c>
      <c r="P66" s="14" t="str">
        <f>IF(B66="","",IF(OR(AND(OR(C66="Asset",C66="Expense"),H66&lt;0),AND(OR(C66="Liability",C66="Equity",C66="Revenue"),H66&gt;0)),"Unusual","OK"))</f>
        <v/>
      </c>
      <c r="Q66" s="14" t="str">
        <f>IF(B66="","",IF(AND(ABS(J66)&gt;='Start Here'!$B$10,IFERROR(ABS(K66)&gt;='Start Here'!$B$11,TRUE)),"Review","OK"))</f>
        <v/>
      </c>
      <c r="R66" s="14" t="str">
        <f>IF(B66="","",IF(OR(O66&lt;&gt;"OK",P66&lt;&gt;"OK",Q66&lt;&gt;"OK"),"Review","Complete"))</f>
        <v/>
      </c>
      <c r="S66" s="14" t="str">
        <f>IF('Start Here'!$B$8="Paste Import",'Paste Import'!J66,'Manual Input'!J66)</f>
        <v/>
      </c>
    </row>
    <row r="67" spans="1:19" x14ac:dyDescent="0.25">
      <c r="A67" s="14" t="str">
        <f>IF('Start Here'!$B$8="Paste Import",'Paste Import'!A67,'Manual Input'!A67)</f>
        <v/>
      </c>
      <c r="B67" s="14" t="str">
        <f>IF('Start Here'!$B$8="Paste Import",'Paste Import'!B67,'Manual Input'!B67)</f>
        <v/>
      </c>
      <c r="C67" s="14" t="str">
        <f>IF('Start Here'!$B$8="Paste Import",'Paste Import'!C67,'Manual Input'!C67)</f>
        <v/>
      </c>
      <c r="D67" s="15" t="str">
        <f>IF('Start Here'!$B$8="Paste Import",'Paste Import'!D67,'Manual Input'!D67)</f>
        <v/>
      </c>
      <c r="E67" s="15" t="str">
        <f>IF('Start Here'!$B$8="Paste Import",'Paste Import'!E67,'Manual Input'!E67)</f>
        <v/>
      </c>
      <c r="F67" s="15" t="str">
        <f>IF('Start Here'!$B$8="Paste Import",'Paste Import'!F67,'Manual Input'!F67)</f>
        <v/>
      </c>
      <c r="G67" s="15" t="str">
        <f>IF('Start Here'!$B$8="Paste Import",'Paste Import'!G67,'Manual Input'!G67)</f>
        <v/>
      </c>
      <c r="H67" s="15" t="str">
        <f>IF(B67="","",D67-E67)</f>
        <v/>
      </c>
      <c r="I67" s="15" t="str">
        <f>IF(B67="","",F67-G67)</f>
        <v/>
      </c>
      <c r="J67" s="15" t="str">
        <f>IF(B67="","",H67-I67)</f>
        <v/>
      </c>
      <c r="K67" s="16" t="str">
        <f>IF(B67="","",IF(I67=0,IF(H67=0,"","New"),J67/ABS(I67)))</f>
        <v/>
      </c>
      <c r="L67" s="14" t="str">
        <f>IF('Start Here'!$B$8="Paste Import",'Paste Import'!H67,'Manual Input'!H67)</f>
        <v/>
      </c>
      <c r="M67" s="15" t="str">
        <f>IF('Start Here'!$B$8="Paste Import",'Paste Import'!I67,'Manual Input'!I67)</f>
        <v/>
      </c>
      <c r="N67" s="15" t="str">
        <f>IF(B67="","",H67+M67)</f>
        <v/>
      </c>
      <c r="O67" s="14" t="str">
        <f>IF(B67="","",IF(OR(C67="",L67=""),"Unmapped","OK"))</f>
        <v/>
      </c>
      <c r="P67" s="14" t="str">
        <f>IF(B67="","",IF(OR(AND(OR(C67="Asset",C67="Expense"),H67&lt;0),AND(OR(C67="Liability",C67="Equity",C67="Revenue"),H67&gt;0)),"Unusual","OK"))</f>
        <v/>
      </c>
      <c r="Q67" s="14" t="str">
        <f>IF(B67="","",IF(AND(ABS(J67)&gt;='Start Here'!$B$10,IFERROR(ABS(K67)&gt;='Start Here'!$B$11,TRUE)),"Review","OK"))</f>
        <v/>
      </c>
      <c r="R67" s="14" t="str">
        <f>IF(B67="","",IF(OR(O67&lt;&gt;"OK",P67&lt;&gt;"OK",Q67&lt;&gt;"OK"),"Review","Complete"))</f>
        <v/>
      </c>
      <c r="S67" s="14" t="str">
        <f>IF('Start Here'!$B$8="Paste Import",'Paste Import'!J67,'Manual Input'!J67)</f>
        <v/>
      </c>
    </row>
    <row r="68" spans="1:19" x14ac:dyDescent="0.25">
      <c r="A68" s="14" t="str">
        <f>IF('Start Here'!$B$8="Paste Import",'Paste Import'!A68,'Manual Input'!A68)</f>
        <v/>
      </c>
      <c r="B68" s="14" t="str">
        <f>IF('Start Here'!$B$8="Paste Import",'Paste Import'!B68,'Manual Input'!B68)</f>
        <v/>
      </c>
      <c r="C68" s="14" t="str">
        <f>IF('Start Here'!$B$8="Paste Import",'Paste Import'!C68,'Manual Input'!C68)</f>
        <v/>
      </c>
      <c r="D68" s="15" t="str">
        <f>IF('Start Here'!$B$8="Paste Import",'Paste Import'!D68,'Manual Input'!D68)</f>
        <v/>
      </c>
      <c r="E68" s="15" t="str">
        <f>IF('Start Here'!$B$8="Paste Import",'Paste Import'!E68,'Manual Input'!E68)</f>
        <v/>
      </c>
      <c r="F68" s="15" t="str">
        <f>IF('Start Here'!$B$8="Paste Import",'Paste Import'!F68,'Manual Input'!F68)</f>
        <v/>
      </c>
      <c r="G68" s="15" t="str">
        <f>IF('Start Here'!$B$8="Paste Import",'Paste Import'!G68,'Manual Input'!G68)</f>
        <v/>
      </c>
      <c r="H68" s="15" t="str">
        <f>IF(B68="","",D68-E68)</f>
        <v/>
      </c>
      <c r="I68" s="15" t="str">
        <f>IF(B68="","",F68-G68)</f>
        <v/>
      </c>
      <c r="J68" s="15" t="str">
        <f>IF(B68="","",H68-I68)</f>
        <v/>
      </c>
      <c r="K68" s="16" t="str">
        <f>IF(B68="","",IF(I68=0,IF(H68=0,"","New"),J68/ABS(I68)))</f>
        <v/>
      </c>
      <c r="L68" s="14" t="str">
        <f>IF('Start Here'!$B$8="Paste Import",'Paste Import'!H68,'Manual Input'!H68)</f>
        <v/>
      </c>
      <c r="M68" s="15" t="str">
        <f>IF('Start Here'!$B$8="Paste Import",'Paste Import'!I68,'Manual Input'!I68)</f>
        <v/>
      </c>
      <c r="N68" s="15" t="str">
        <f>IF(B68="","",H68+M68)</f>
        <v/>
      </c>
      <c r="O68" s="14" t="str">
        <f>IF(B68="","",IF(OR(C68="",L68=""),"Unmapped","OK"))</f>
        <v/>
      </c>
      <c r="P68" s="14" t="str">
        <f>IF(B68="","",IF(OR(AND(OR(C68="Asset",C68="Expense"),H68&lt;0),AND(OR(C68="Liability",C68="Equity",C68="Revenue"),H68&gt;0)),"Unusual","OK"))</f>
        <v/>
      </c>
      <c r="Q68" s="14" t="str">
        <f>IF(B68="","",IF(AND(ABS(J68)&gt;='Start Here'!$B$10,IFERROR(ABS(K68)&gt;='Start Here'!$B$11,TRUE)),"Review","OK"))</f>
        <v/>
      </c>
      <c r="R68" s="14" t="str">
        <f>IF(B68="","",IF(OR(O68&lt;&gt;"OK",P68&lt;&gt;"OK",Q68&lt;&gt;"OK"),"Review","Complete"))</f>
        <v/>
      </c>
      <c r="S68" s="14" t="str">
        <f>IF('Start Here'!$B$8="Paste Import",'Paste Import'!J68,'Manual Input'!J68)</f>
        <v/>
      </c>
    </row>
    <row r="69" spans="1:19" x14ac:dyDescent="0.25">
      <c r="A69" s="14" t="str">
        <f>IF('Start Here'!$B$8="Paste Import",'Paste Import'!A69,'Manual Input'!A69)</f>
        <v/>
      </c>
      <c r="B69" s="14" t="str">
        <f>IF('Start Here'!$B$8="Paste Import",'Paste Import'!B69,'Manual Input'!B69)</f>
        <v/>
      </c>
      <c r="C69" s="14" t="str">
        <f>IF('Start Here'!$B$8="Paste Import",'Paste Import'!C69,'Manual Input'!C69)</f>
        <v/>
      </c>
      <c r="D69" s="15" t="str">
        <f>IF('Start Here'!$B$8="Paste Import",'Paste Import'!D69,'Manual Input'!D69)</f>
        <v/>
      </c>
      <c r="E69" s="15" t="str">
        <f>IF('Start Here'!$B$8="Paste Import",'Paste Import'!E69,'Manual Input'!E69)</f>
        <v/>
      </c>
      <c r="F69" s="15" t="str">
        <f>IF('Start Here'!$B$8="Paste Import",'Paste Import'!F69,'Manual Input'!F69)</f>
        <v/>
      </c>
      <c r="G69" s="15" t="str">
        <f>IF('Start Here'!$B$8="Paste Import",'Paste Import'!G69,'Manual Input'!G69)</f>
        <v/>
      </c>
      <c r="H69" s="15" t="str">
        <f>IF(B69="","",D69-E69)</f>
        <v/>
      </c>
      <c r="I69" s="15" t="str">
        <f>IF(B69="","",F69-G69)</f>
        <v/>
      </c>
      <c r="J69" s="15" t="str">
        <f>IF(B69="","",H69-I69)</f>
        <v/>
      </c>
      <c r="K69" s="16" t="str">
        <f>IF(B69="","",IF(I69=0,IF(H69=0,"","New"),J69/ABS(I69)))</f>
        <v/>
      </c>
      <c r="L69" s="14" t="str">
        <f>IF('Start Here'!$B$8="Paste Import",'Paste Import'!H69,'Manual Input'!H69)</f>
        <v/>
      </c>
      <c r="M69" s="15" t="str">
        <f>IF('Start Here'!$B$8="Paste Import",'Paste Import'!I69,'Manual Input'!I69)</f>
        <v/>
      </c>
      <c r="N69" s="15" t="str">
        <f>IF(B69="","",H69+M69)</f>
        <v/>
      </c>
      <c r="O69" s="14" t="str">
        <f>IF(B69="","",IF(OR(C69="",L69=""),"Unmapped","OK"))</f>
        <v/>
      </c>
      <c r="P69" s="14" t="str">
        <f>IF(B69="","",IF(OR(AND(OR(C69="Asset",C69="Expense"),H69&lt;0),AND(OR(C69="Liability",C69="Equity",C69="Revenue"),H69&gt;0)),"Unusual","OK"))</f>
        <v/>
      </c>
      <c r="Q69" s="14" t="str">
        <f>IF(B69="","",IF(AND(ABS(J69)&gt;='Start Here'!$B$10,IFERROR(ABS(K69)&gt;='Start Here'!$B$11,TRUE)),"Review","OK"))</f>
        <v/>
      </c>
      <c r="R69" s="14" t="str">
        <f>IF(B69="","",IF(OR(O69&lt;&gt;"OK",P69&lt;&gt;"OK",Q69&lt;&gt;"OK"),"Review","Complete"))</f>
        <v/>
      </c>
      <c r="S69" s="14" t="str">
        <f>IF('Start Here'!$B$8="Paste Import",'Paste Import'!J69,'Manual Input'!J69)</f>
        <v/>
      </c>
    </row>
    <row r="70" spans="1:19" x14ac:dyDescent="0.25">
      <c r="A70" s="14" t="str">
        <f>IF('Start Here'!$B$8="Paste Import",'Paste Import'!A70,'Manual Input'!A70)</f>
        <v/>
      </c>
      <c r="B70" s="14" t="str">
        <f>IF('Start Here'!$B$8="Paste Import",'Paste Import'!B70,'Manual Input'!B70)</f>
        <v/>
      </c>
      <c r="C70" s="14" t="str">
        <f>IF('Start Here'!$B$8="Paste Import",'Paste Import'!C70,'Manual Input'!C70)</f>
        <v/>
      </c>
      <c r="D70" s="15" t="str">
        <f>IF('Start Here'!$B$8="Paste Import",'Paste Import'!D70,'Manual Input'!D70)</f>
        <v/>
      </c>
      <c r="E70" s="15" t="str">
        <f>IF('Start Here'!$B$8="Paste Import",'Paste Import'!E70,'Manual Input'!E70)</f>
        <v/>
      </c>
      <c r="F70" s="15" t="str">
        <f>IF('Start Here'!$B$8="Paste Import",'Paste Import'!F70,'Manual Input'!F70)</f>
        <v/>
      </c>
      <c r="G70" s="15" t="str">
        <f>IF('Start Here'!$B$8="Paste Import",'Paste Import'!G70,'Manual Input'!G70)</f>
        <v/>
      </c>
      <c r="H70" s="15" t="str">
        <f>IF(B70="","",D70-E70)</f>
        <v/>
      </c>
      <c r="I70" s="15" t="str">
        <f>IF(B70="","",F70-G70)</f>
        <v/>
      </c>
      <c r="J70" s="15" t="str">
        <f>IF(B70="","",H70-I70)</f>
        <v/>
      </c>
      <c r="K70" s="16" t="str">
        <f>IF(B70="","",IF(I70=0,IF(H70=0,"","New"),J70/ABS(I70)))</f>
        <v/>
      </c>
      <c r="L70" s="14" t="str">
        <f>IF('Start Here'!$B$8="Paste Import",'Paste Import'!H70,'Manual Input'!H70)</f>
        <v/>
      </c>
      <c r="M70" s="15" t="str">
        <f>IF('Start Here'!$B$8="Paste Import",'Paste Import'!I70,'Manual Input'!I70)</f>
        <v/>
      </c>
      <c r="N70" s="15" t="str">
        <f>IF(B70="","",H70+M70)</f>
        <v/>
      </c>
      <c r="O70" s="14" t="str">
        <f>IF(B70="","",IF(OR(C70="",L70=""),"Unmapped","OK"))</f>
        <v/>
      </c>
      <c r="P70" s="14" t="str">
        <f>IF(B70="","",IF(OR(AND(OR(C70="Asset",C70="Expense"),H70&lt;0),AND(OR(C70="Liability",C70="Equity",C70="Revenue"),H70&gt;0)),"Unusual","OK"))</f>
        <v/>
      </c>
      <c r="Q70" s="14" t="str">
        <f>IF(B70="","",IF(AND(ABS(J70)&gt;='Start Here'!$B$10,IFERROR(ABS(K70)&gt;='Start Here'!$B$11,TRUE)),"Review","OK"))</f>
        <v/>
      </c>
      <c r="R70" s="14" t="str">
        <f>IF(B70="","",IF(OR(O70&lt;&gt;"OK",P70&lt;&gt;"OK",Q70&lt;&gt;"OK"),"Review","Complete"))</f>
        <v/>
      </c>
      <c r="S70" s="14" t="str">
        <f>IF('Start Here'!$B$8="Paste Import",'Paste Import'!J70,'Manual Input'!J70)</f>
        <v/>
      </c>
    </row>
    <row r="71" spans="1:19" x14ac:dyDescent="0.25">
      <c r="A71" s="14" t="str">
        <f>IF('Start Here'!$B$8="Paste Import",'Paste Import'!A71,'Manual Input'!A71)</f>
        <v/>
      </c>
      <c r="B71" s="14" t="str">
        <f>IF('Start Here'!$B$8="Paste Import",'Paste Import'!B71,'Manual Input'!B71)</f>
        <v/>
      </c>
      <c r="C71" s="14" t="str">
        <f>IF('Start Here'!$B$8="Paste Import",'Paste Import'!C71,'Manual Input'!C71)</f>
        <v/>
      </c>
      <c r="D71" s="15" t="str">
        <f>IF('Start Here'!$B$8="Paste Import",'Paste Import'!D71,'Manual Input'!D71)</f>
        <v/>
      </c>
      <c r="E71" s="15" t="str">
        <f>IF('Start Here'!$B$8="Paste Import",'Paste Import'!E71,'Manual Input'!E71)</f>
        <v/>
      </c>
      <c r="F71" s="15" t="str">
        <f>IF('Start Here'!$B$8="Paste Import",'Paste Import'!F71,'Manual Input'!F71)</f>
        <v/>
      </c>
      <c r="G71" s="15" t="str">
        <f>IF('Start Here'!$B$8="Paste Import",'Paste Import'!G71,'Manual Input'!G71)</f>
        <v/>
      </c>
      <c r="H71" s="15" t="str">
        <f>IF(B71="","",D71-E71)</f>
        <v/>
      </c>
      <c r="I71" s="15" t="str">
        <f>IF(B71="","",F71-G71)</f>
        <v/>
      </c>
      <c r="J71" s="15" t="str">
        <f>IF(B71="","",H71-I71)</f>
        <v/>
      </c>
      <c r="K71" s="16" t="str">
        <f>IF(B71="","",IF(I71=0,IF(H71=0,"","New"),J71/ABS(I71)))</f>
        <v/>
      </c>
      <c r="L71" s="14" t="str">
        <f>IF('Start Here'!$B$8="Paste Import",'Paste Import'!H71,'Manual Input'!H71)</f>
        <v/>
      </c>
      <c r="M71" s="15" t="str">
        <f>IF('Start Here'!$B$8="Paste Import",'Paste Import'!I71,'Manual Input'!I71)</f>
        <v/>
      </c>
      <c r="N71" s="15" t="str">
        <f>IF(B71="","",H71+M71)</f>
        <v/>
      </c>
      <c r="O71" s="14" t="str">
        <f>IF(B71="","",IF(OR(C71="",L71=""),"Unmapped","OK"))</f>
        <v/>
      </c>
      <c r="P71" s="14" t="str">
        <f>IF(B71="","",IF(OR(AND(OR(C71="Asset",C71="Expense"),H71&lt;0),AND(OR(C71="Liability",C71="Equity",C71="Revenue"),H71&gt;0)),"Unusual","OK"))</f>
        <v/>
      </c>
      <c r="Q71" s="14" t="str">
        <f>IF(B71="","",IF(AND(ABS(J71)&gt;='Start Here'!$B$10,IFERROR(ABS(K71)&gt;='Start Here'!$B$11,TRUE)),"Review","OK"))</f>
        <v/>
      </c>
      <c r="R71" s="14" t="str">
        <f>IF(B71="","",IF(OR(O71&lt;&gt;"OK",P71&lt;&gt;"OK",Q71&lt;&gt;"OK"),"Review","Complete"))</f>
        <v/>
      </c>
      <c r="S71" s="14" t="str">
        <f>IF('Start Here'!$B$8="Paste Import",'Paste Import'!J71,'Manual Input'!J71)</f>
        <v/>
      </c>
    </row>
    <row r="72" spans="1:19" x14ac:dyDescent="0.25">
      <c r="A72" s="14" t="str">
        <f>IF('Start Here'!$B$8="Paste Import",'Paste Import'!A72,'Manual Input'!A72)</f>
        <v/>
      </c>
      <c r="B72" s="14" t="str">
        <f>IF('Start Here'!$B$8="Paste Import",'Paste Import'!B72,'Manual Input'!B72)</f>
        <v/>
      </c>
      <c r="C72" s="14" t="str">
        <f>IF('Start Here'!$B$8="Paste Import",'Paste Import'!C72,'Manual Input'!C72)</f>
        <v/>
      </c>
      <c r="D72" s="15" t="str">
        <f>IF('Start Here'!$B$8="Paste Import",'Paste Import'!D72,'Manual Input'!D72)</f>
        <v/>
      </c>
      <c r="E72" s="15" t="str">
        <f>IF('Start Here'!$B$8="Paste Import",'Paste Import'!E72,'Manual Input'!E72)</f>
        <v/>
      </c>
      <c r="F72" s="15" t="str">
        <f>IF('Start Here'!$B$8="Paste Import",'Paste Import'!F72,'Manual Input'!F72)</f>
        <v/>
      </c>
      <c r="G72" s="15" t="str">
        <f>IF('Start Here'!$B$8="Paste Import",'Paste Import'!G72,'Manual Input'!G72)</f>
        <v/>
      </c>
      <c r="H72" s="15" t="str">
        <f>IF(B72="","",D72-E72)</f>
        <v/>
      </c>
      <c r="I72" s="15" t="str">
        <f>IF(B72="","",F72-G72)</f>
        <v/>
      </c>
      <c r="J72" s="15" t="str">
        <f>IF(B72="","",H72-I72)</f>
        <v/>
      </c>
      <c r="K72" s="16" t="str">
        <f>IF(B72="","",IF(I72=0,IF(H72=0,"","New"),J72/ABS(I72)))</f>
        <v/>
      </c>
      <c r="L72" s="14" t="str">
        <f>IF('Start Here'!$B$8="Paste Import",'Paste Import'!H72,'Manual Input'!H72)</f>
        <v/>
      </c>
      <c r="M72" s="15" t="str">
        <f>IF('Start Here'!$B$8="Paste Import",'Paste Import'!I72,'Manual Input'!I72)</f>
        <v/>
      </c>
      <c r="N72" s="15" t="str">
        <f>IF(B72="","",H72+M72)</f>
        <v/>
      </c>
      <c r="O72" s="14" t="str">
        <f>IF(B72="","",IF(OR(C72="",L72=""),"Unmapped","OK"))</f>
        <v/>
      </c>
      <c r="P72" s="14" t="str">
        <f>IF(B72="","",IF(OR(AND(OR(C72="Asset",C72="Expense"),H72&lt;0),AND(OR(C72="Liability",C72="Equity",C72="Revenue"),H72&gt;0)),"Unusual","OK"))</f>
        <v/>
      </c>
      <c r="Q72" s="14" t="str">
        <f>IF(B72="","",IF(AND(ABS(J72)&gt;='Start Here'!$B$10,IFERROR(ABS(K72)&gt;='Start Here'!$B$11,TRUE)),"Review","OK"))</f>
        <v/>
      </c>
      <c r="R72" s="14" t="str">
        <f>IF(B72="","",IF(OR(O72&lt;&gt;"OK",P72&lt;&gt;"OK",Q72&lt;&gt;"OK"),"Review","Complete"))</f>
        <v/>
      </c>
      <c r="S72" s="14" t="str">
        <f>IF('Start Here'!$B$8="Paste Import",'Paste Import'!J72,'Manual Input'!J72)</f>
        <v/>
      </c>
    </row>
    <row r="73" spans="1:19" x14ac:dyDescent="0.25">
      <c r="A73" s="14" t="str">
        <f>IF('Start Here'!$B$8="Paste Import",'Paste Import'!A73,'Manual Input'!A73)</f>
        <v/>
      </c>
      <c r="B73" s="14" t="str">
        <f>IF('Start Here'!$B$8="Paste Import",'Paste Import'!B73,'Manual Input'!B73)</f>
        <v/>
      </c>
      <c r="C73" s="14" t="str">
        <f>IF('Start Here'!$B$8="Paste Import",'Paste Import'!C73,'Manual Input'!C73)</f>
        <v/>
      </c>
      <c r="D73" s="15" t="str">
        <f>IF('Start Here'!$B$8="Paste Import",'Paste Import'!D73,'Manual Input'!D73)</f>
        <v/>
      </c>
      <c r="E73" s="15" t="str">
        <f>IF('Start Here'!$B$8="Paste Import",'Paste Import'!E73,'Manual Input'!E73)</f>
        <v/>
      </c>
      <c r="F73" s="15" t="str">
        <f>IF('Start Here'!$B$8="Paste Import",'Paste Import'!F73,'Manual Input'!F73)</f>
        <v/>
      </c>
      <c r="G73" s="15" t="str">
        <f>IF('Start Here'!$B$8="Paste Import",'Paste Import'!G73,'Manual Input'!G73)</f>
        <v/>
      </c>
      <c r="H73" s="15" t="str">
        <f>IF(B73="","",D73-E73)</f>
        <v/>
      </c>
      <c r="I73" s="15" t="str">
        <f>IF(B73="","",F73-G73)</f>
        <v/>
      </c>
      <c r="J73" s="15" t="str">
        <f>IF(B73="","",H73-I73)</f>
        <v/>
      </c>
      <c r="K73" s="16" t="str">
        <f>IF(B73="","",IF(I73=0,IF(H73=0,"","New"),J73/ABS(I73)))</f>
        <v/>
      </c>
      <c r="L73" s="14" t="str">
        <f>IF('Start Here'!$B$8="Paste Import",'Paste Import'!H73,'Manual Input'!H73)</f>
        <v/>
      </c>
      <c r="M73" s="15" t="str">
        <f>IF('Start Here'!$B$8="Paste Import",'Paste Import'!I73,'Manual Input'!I73)</f>
        <v/>
      </c>
      <c r="N73" s="15" t="str">
        <f>IF(B73="","",H73+M73)</f>
        <v/>
      </c>
      <c r="O73" s="14" t="str">
        <f>IF(B73="","",IF(OR(C73="",L73=""),"Unmapped","OK"))</f>
        <v/>
      </c>
      <c r="P73" s="14" t="str">
        <f>IF(B73="","",IF(OR(AND(OR(C73="Asset",C73="Expense"),H73&lt;0),AND(OR(C73="Liability",C73="Equity",C73="Revenue"),H73&gt;0)),"Unusual","OK"))</f>
        <v/>
      </c>
      <c r="Q73" s="14" t="str">
        <f>IF(B73="","",IF(AND(ABS(J73)&gt;='Start Here'!$B$10,IFERROR(ABS(K73)&gt;='Start Here'!$B$11,TRUE)),"Review","OK"))</f>
        <v/>
      </c>
      <c r="R73" s="14" t="str">
        <f>IF(B73="","",IF(OR(O73&lt;&gt;"OK",P73&lt;&gt;"OK",Q73&lt;&gt;"OK"),"Review","Complete"))</f>
        <v/>
      </c>
      <c r="S73" s="14" t="str">
        <f>IF('Start Here'!$B$8="Paste Import",'Paste Import'!J73,'Manual Input'!J73)</f>
        <v/>
      </c>
    </row>
    <row r="74" spans="1:19" x14ac:dyDescent="0.25">
      <c r="A74" s="14" t="str">
        <f>IF('Start Here'!$B$8="Paste Import",'Paste Import'!A74,'Manual Input'!A74)</f>
        <v/>
      </c>
      <c r="B74" s="14" t="str">
        <f>IF('Start Here'!$B$8="Paste Import",'Paste Import'!B74,'Manual Input'!B74)</f>
        <v/>
      </c>
      <c r="C74" s="14" t="str">
        <f>IF('Start Here'!$B$8="Paste Import",'Paste Import'!C74,'Manual Input'!C74)</f>
        <v/>
      </c>
      <c r="D74" s="15" t="str">
        <f>IF('Start Here'!$B$8="Paste Import",'Paste Import'!D74,'Manual Input'!D74)</f>
        <v/>
      </c>
      <c r="E74" s="15" t="str">
        <f>IF('Start Here'!$B$8="Paste Import",'Paste Import'!E74,'Manual Input'!E74)</f>
        <v/>
      </c>
      <c r="F74" s="15" t="str">
        <f>IF('Start Here'!$B$8="Paste Import",'Paste Import'!F74,'Manual Input'!F74)</f>
        <v/>
      </c>
      <c r="G74" s="15" t="str">
        <f>IF('Start Here'!$B$8="Paste Import",'Paste Import'!G74,'Manual Input'!G74)</f>
        <v/>
      </c>
      <c r="H74" s="15" t="str">
        <f>IF(B74="","",D74-E74)</f>
        <v/>
      </c>
      <c r="I74" s="15" t="str">
        <f>IF(B74="","",F74-G74)</f>
        <v/>
      </c>
      <c r="J74" s="15" t="str">
        <f>IF(B74="","",H74-I74)</f>
        <v/>
      </c>
      <c r="K74" s="16" t="str">
        <f>IF(B74="","",IF(I74=0,IF(H74=0,"","New"),J74/ABS(I74)))</f>
        <v/>
      </c>
      <c r="L74" s="14" t="str">
        <f>IF('Start Here'!$B$8="Paste Import",'Paste Import'!H74,'Manual Input'!H74)</f>
        <v/>
      </c>
      <c r="M74" s="15" t="str">
        <f>IF('Start Here'!$B$8="Paste Import",'Paste Import'!I74,'Manual Input'!I74)</f>
        <v/>
      </c>
      <c r="N74" s="15" t="str">
        <f>IF(B74="","",H74+M74)</f>
        <v/>
      </c>
      <c r="O74" s="14" t="str">
        <f>IF(B74="","",IF(OR(C74="",L74=""),"Unmapped","OK"))</f>
        <v/>
      </c>
      <c r="P74" s="14" t="str">
        <f>IF(B74="","",IF(OR(AND(OR(C74="Asset",C74="Expense"),H74&lt;0),AND(OR(C74="Liability",C74="Equity",C74="Revenue"),H74&gt;0)),"Unusual","OK"))</f>
        <v/>
      </c>
      <c r="Q74" s="14" t="str">
        <f>IF(B74="","",IF(AND(ABS(J74)&gt;='Start Here'!$B$10,IFERROR(ABS(K74)&gt;='Start Here'!$B$11,TRUE)),"Review","OK"))</f>
        <v/>
      </c>
      <c r="R74" s="14" t="str">
        <f>IF(B74="","",IF(OR(O74&lt;&gt;"OK",P74&lt;&gt;"OK",Q74&lt;&gt;"OK"),"Review","Complete"))</f>
        <v/>
      </c>
      <c r="S74" s="14" t="str">
        <f>IF('Start Here'!$B$8="Paste Import",'Paste Import'!J74,'Manual Input'!J74)</f>
        <v/>
      </c>
    </row>
    <row r="75" spans="1:19" x14ac:dyDescent="0.25">
      <c r="A75" s="14" t="str">
        <f>IF('Start Here'!$B$8="Paste Import",'Paste Import'!A75,'Manual Input'!A75)</f>
        <v/>
      </c>
      <c r="B75" s="14" t="str">
        <f>IF('Start Here'!$B$8="Paste Import",'Paste Import'!B75,'Manual Input'!B75)</f>
        <v/>
      </c>
      <c r="C75" s="14" t="str">
        <f>IF('Start Here'!$B$8="Paste Import",'Paste Import'!C75,'Manual Input'!C75)</f>
        <v/>
      </c>
      <c r="D75" s="15" t="str">
        <f>IF('Start Here'!$B$8="Paste Import",'Paste Import'!D75,'Manual Input'!D75)</f>
        <v/>
      </c>
      <c r="E75" s="15" t="str">
        <f>IF('Start Here'!$B$8="Paste Import",'Paste Import'!E75,'Manual Input'!E75)</f>
        <v/>
      </c>
      <c r="F75" s="15" t="str">
        <f>IF('Start Here'!$B$8="Paste Import",'Paste Import'!F75,'Manual Input'!F75)</f>
        <v/>
      </c>
      <c r="G75" s="15" t="str">
        <f>IF('Start Here'!$B$8="Paste Import",'Paste Import'!G75,'Manual Input'!G75)</f>
        <v/>
      </c>
      <c r="H75" s="15" t="str">
        <f>IF(B75="","",D75-E75)</f>
        <v/>
      </c>
      <c r="I75" s="15" t="str">
        <f>IF(B75="","",F75-G75)</f>
        <v/>
      </c>
      <c r="J75" s="15" t="str">
        <f>IF(B75="","",H75-I75)</f>
        <v/>
      </c>
      <c r="K75" s="16" t="str">
        <f>IF(B75="","",IF(I75=0,IF(H75=0,"","New"),J75/ABS(I75)))</f>
        <v/>
      </c>
      <c r="L75" s="14" t="str">
        <f>IF('Start Here'!$B$8="Paste Import",'Paste Import'!H75,'Manual Input'!H75)</f>
        <v/>
      </c>
      <c r="M75" s="15" t="str">
        <f>IF('Start Here'!$B$8="Paste Import",'Paste Import'!I75,'Manual Input'!I75)</f>
        <v/>
      </c>
      <c r="N75" s="15" t="str">
        <f>IF(B75="","",H75+M75)</f>
        <v/>
      </c>
      <c r="O75" s="14" t="str">
        <f>IF(B75="","",IF(OR(C75="",L75=""),"Unmapped","OK"))</f>
        <v/>
      </c>
      <c r="P75" s="14" t="str">
        <f>IF(B75="","",IF(OR(AND(OR(C75="Asset",C75="Expense"),H75&lt;0),AND(OR(C75="Liability",C75="Equity",C75="Revenue"),H75&gt;0)),"Unusual","OK"))</f>
        <v/>
      </c>
      <c r="Q75" s="14" t="str">
        <f>IF(B75="","",IF(AND(ABS(J75)&gt;='Start Here'!$B$10,IFERROR(ABS(K75)&gt;='Start Here'!$B$11,TRUE)),"Review","OK"))</f>
        <v/>
      </c>
      <c r="R75" s="14" t="str">
        <f>IF(B75="","",IF(OR(O75&lt;&gt;"OK",P75&lt;&gt;"OK",Q75&lt;&gt;"OK"),"Review","Complete"))</f>
        <v/>
      </c>
      <c r="S75" s="14" t="str">
        <f>IF('Start Here'!$B$8="Paste Import",'Paste Import'!J75,'Manual Input'!J75)</f>
        <v/>
      </c>
    </row>
    <row r="76" spans="1:19" x14ac:dyDescent="0.25">
      <c r="A76" s="14" t="str">
        <f>IF('Start Here'!$B$8="Paste Import",'Paste Import'!A76,'Manual Input'!A76)</f>
        <v/>
      </c>
      <c r="B76" s="14" t="str">
        <f>IF('Start Here'!$B$8="Paste Import",'Paste Import'!B76,'Manual Input'!B76)</f>
        <v/>
      </c>
      <c r="C76" s="14" t="str">
        <f>IF('Start Here'!$B$8="Paste Import",'Paste Import'!C76,'Manual Input'!C76)</f>
        <v/>
      </c>
      <c r="D76" s="15" t="str">
        <f>IF('Start Here'!$B$8="Paste Import",'Paste Import'!D76,'Manual Input'!D76)</f>
        <v/>
      </c>
      <c r="E76" s="15" t="str">
        <f>IF('Start Here'!$B$8="Paste Import",'Paste Import'!E76,'Manual Input'!E76)</f>
        <v/>
      </c>
      <c r="F76" s="15" t="str">
        <f>IF('Start Here'!$B$8="Paste Import",'Paste Import'!F76,'Manual Input'!F76)</f>
        <v/>
      </c>
      <c r="G76" s="15" t="str">
        <f>IF('Start Here'!$B$8="Paste Import",'Paste Import'!G76,'Manual Input'!G76)</f>
        <v/>
      </c>
      <c r="H76" s="15" t="str">
        <f>IF(B76="","",D76-E76)</f>
        <v/>
      </c>
      <c r="I76" s="15" t="str">
        <f>IF(B76="","",F76-G76)</f>
        <v/>
      </c>
      <c r="J76" s="15" t="str">
        <f>IF(B76="","",H76-I76)</f>
        <v/>
      </c>
      <c r="K76" s="16" t="str">
        <f>IF(B76="","",IF(I76=0,IF(H76=0,"","New"),J76/ABS(I76)))</f>
        <v/>
      </c>
      <c r="L76" s="14" t="str">
        <f>IF('Start Here'!$B$8="Paste Import",'Paste Import'!H76,'Manual Input'!H76)</f>
        <v/>
      </c>
      <c r="M76" s="15" t="str">
        <f>IF('Start Here'!$B$8="Paste Import",'Paste Import'!I76,'Manual Input'!I76)</f>
        <v/>
      </c>
      <c r="N76" s="15" t="str">
        <f>IF(B76="","",H76+M76)</f>
        <v/>
      </c>
      <c r="O76" s="14" t="str">
        <f>IF(B76="","",IF(OR(C76="",L76=""),"Unmapped","OK"))</f>
        <v/>
      </c>
      <c r="P76" s="14" t="str">
        <f>IF(B76="","",IF(OR(AND(OR(C76="Asset",C76="Expense"),H76&lt;0),AND(OR(C76="Liability",C76="Equity",C76="Revenue"),H76&gt;0)),"Unusual","OK"))</f>
        <v/>
      </c>
      <c r="Q76" s="14" t="str">
        <f>IF(B76="","",IF(AND(ABS(J76)&gt;='Start Here'!$B$10,IFERROR(ABS(K76)&gt;='Start Here'!$B$11,TRUE)),"Review","OK"))</f>
        <v/>
      </c>
      <c r="R76" s="14" t="str">
        <f>IF(B76="","",IF(OR(O76&lt;&gt;"OK",P76&lt;&gt;"OK",Q76&lt;&gt;"OK"),"Review","Complete"))</f>
        <v/>
      </c>
      <c r="S76" s="14" t="str">
        <f>IF('Start Here'!$B$8="Paste Import",'Paste Import'!J76,'Manual Input'!J76)</f>
        <v/>
      </c>
    </row>
    <row r="77" spans="1:19" x14ac:dyDescent="0.25">
      <c r="A77" s="14" t="str">
        <f>IF('Start Here'!$B$8="Paste Import",'Paste Import'!A77,'Manual Input'!A77)</f>
        <v/>
      </c>
      <c r="B77" s="14" t="str">
        <f>IF('Start Here'!$B$8="Paste Import",'Paste Import'!B77,'Manual Input'!B77)</f>
        <v/>
      </c>
      <c r="C77" s="14" t="str">
        <f>IF('Start Here'!$B$8="Paste Import",'Paste Import'!C77,'Manual Input'!C77)</f>
        <v/>
      </c>
      <c r="D77" s="15" t="str">
        <f>IF('Start Here'!$B$8="Paste Import",'Paste Import'!D77,'Manual Input'!D77)</f>
        <v/>
      </c>
      <c r="E77" s="15" t="str">
        <f>IF('Start Here'!$B$8="Paste Import",'Paste Import'!E77,'Manual Input'!E77)</f>
        <v/>
      </c>
      <c r="F77" s="15" t="str">
        <f>IF('Start Here'!$B$8="Paste Import",'Paste Import'!F77,'Manual Input'!F77)</f>
        <v/>
      </c>
      <c r="G77" s="15" t="str">
        <f>IF('Start Here'!$B$8="Paste Import",'Paste Import'!G77,'Manual Input'!G77)</f>
        <v/>
      </c>
      <c r="H77" s="15" t="str">
        <f>IF(B77="","",D77-E77)</f>
        <v/>
      </c>
      <c r="I77" s="15" t="str">
        <f>IF(B77="","",F77-G77)</f>
        <v/>
      </c>
      <c r="J77" s="15" t="str">
        <f>IF(B77="","",H77-I77)</f>
        <v/>
      </c>
      <c r="K77" s="16" t="str">
        <f>IF(B77="","",IF(I77=0,IF(H77=0,"","New"),J77/ABS(I77)))</f>
        <v/>
      </c>
      <c r="L77" s="14" t="str">
        <f>IF('Start Here'!$B$8="Paste Import",'Paste Import'!H77,'Manual Input'!H77)</f>
        <v/>
      </c>
      <c r="M77" s="15" t="str">
        <f>IF('Start Here'!$B$8="Paste Import",'Paste Import'!I77,'Manual Input'!I77)</f>
        <v/>
      </c>
      <c r="N77" s="15" t="str">
        <f>IF(B77="","",H77+M77)</f>
        <v/>
      </c>
      <c r="O77" s="14" t="str">
        <f>IF(B77="","",IF(OR(C77="",L77=""),"Unmapped","OK"))</f>
        <v/>
      </c>
      <c r="P77" s="14" t="str">
        <f>IF(B77="","",IF(OR(AND(OR(C77="Asset",C77="Expense"),H77&lt;0),AND(OR(C77="Liability",C77="Equity",C77="Revenue"),H77&gt;0)),"Unusual","OK"))</f>
        <v/>
      </c>
      <c r="Q77" s="14" t="str">
        <f>IF(B77="","",IF(AND(ABS(J77)&gt;='Start Here'!$B$10,IFERROR(ABS(K77)&gt;='Start Here'!$B$11,TRUE)),"Review","OK"))</f>
        <v/>
      </c>
      <c r="R77" s="14" t="str">
        <f>IF(B77="","",IF(OR(O77&lt;&gt;"OK",P77&lt;&gt;"OK",Q77&lt;&gt;"OK"),"Review","Complete"))</f>
        <v/>
      </c>
      <c r="S77" s="14" t="str">
        <f>IF('Start Here'!$B$8="Paste Import",'Paste Import'!J77,'Manual Input'!J77)</f>
        <v/>
      </c>
    </row>
    <row r="78" spans="1:19" x14ac:dyDescent="0.25">
      <c r="A78" s="14" t="str">
        <f>IF('Start Here'!$B$8="Paste Import",'Paste Import'!A78,'Manual Input'!A78)</f>
        <v/>
      </c>
      <c r="B78" s="14" t="str">
        <f>IF('Start Here'!$B$8="Paste Import",'Paste Import'!B78,'Manual Input'!B78)</f>
        <v/>
      </c>
      <c r="C78" s="14" t="str">
        <f>IF('Start Here'!$B$8="Paste Import",'Paste Import'!C78,'Manual Input'!C78)</f>
        <v/>
      </c>
      <c r="D78" s="15" t="str">
        <f>IF('Start Here'!$B$8="Paste Import",'Paste Import'!D78,'Manual Input'!D78)</f>
        <v/>
      </c>
      <c r="E78" s="15" t="str">
        <f>IF('Start Here'!$B$8="Paste Import",'Paste Import'!E78,'Manual Input'!E78)</f>
        <v/>
      </c>
      <c r="F78" s="15" t="str">
        <f>IF('Start Here'!$B$8="Paste Import",'Paste Import'!F78,'Manual Input'!F78)</f>
        <v/>
      </c>
      <c r="G78" s="15" t="str">
        <f>IF('Start Here'!$B$8="Paste Import",'Paste Import'!G78,'Manual Input'!G78)</f>
        <v/>
      </c>
      <c r="H78" s="15" t="str">
        <f>IF(B78="","",D78-E78)</f>
        <v/>
      </c>
      <c r="I78" s="15" t="str">
        <f>IF(B78="","",F78-G78)</f>
        <v/>
      </c>
      <c r="J78" s="15" t="str">
        <f>IF(B78="","",H78-I78)</f>
        <v/>
      </c>
      <c r="K78" s="16" t="str">
        <f>IF(B78="","",IF(I78=0,IF(H78=0,"","New"),J78/ABS(I78)))</f>
        <v/>
      </c>
      <c r="L78" s="14" t="str">
        <f>IF('Start Here'!$B$8="Paste Import",'Paste Import'!H78,'Manual Input'!H78)</f>
        <v/>
      </c>
      <c r="M78" s="15" t="str">
        <f>IF('Start Here'!$B$8="Paste Import",'Paste Import'!I78,'Manual Input'!I78)</f>
        <v/>
      </c>
      <c r="N78" s="15" t="str">
        <f>IF(B78="","",H78+M78)</f>
        <v/>
      </c>
      <c r="O78" s="14" t="str">
        <f>IF(B78="","",IF(OR(C78="",L78=""),"Unmapped","OK"))</f>
        <v/>
      </c>
      <c r="P78" s="14" t="str">
        <f>IF(B78="","",IF(OR(AND(OR(C78="Asset",C78="Expense"),H78&lt;0),AND(OR(C78="Liability",C78="Equity",C78="Revenue"),H78&gt;0)),"Unusual","OK"))</f>
        <v/>
      </c>
      <c r="Q78" s="14" t="str">
        <f>IF(B78="","",IF(AND(ABS(J78)&gt;='Start Here'!$B$10,IFERROR(ABS(K78)&gt;='Start Here'!$B$11,TRUE)),"Review","OK"))</f>
        <v/>
      </c>
      <c r="R78" s="14" t="str">
        <f>IF(B78="","",IF(OR(O78&lt;&gt;"OK",P78&lt;&gt;"OK",Q78&lt;&gt;"OK"),"Review","Complete"))</f>
        <v/>
      </c>
      <c r="S78" s="14" t="str">
        <f>IF('Start Here'!$B$8="Paste Import",'Paste Import'!J78,'Manual Input'!J78)</f>
        <v/>
      </c>
    </row>
    <row r="79" spans="1:19" x14ac:dyDescent="0.25">
      <c r="A79" s="14" t="str">
        <f>IF('Start Here'!$B$8="Paste Import",'Paste Import'!A79,'Manual Input'!A79)</f>
        <v/>
      </c>
      <c r="B79" s="14" t="str">
        <f>IF('Start Here'!$B$8="Paste Import",'Paste Import'!B79,'Manual Input'!B79)</f>
        <v/>
      </c>
      <c r="C79" s="14" t="str">
        <f>IF('Start Here'!$B$8="Paste Import",'Paste Import'!C79,'Manual Input'!C79)</f>
        <v/>
      </c>
      <c r="D79" s="15" t="str">
        <f>IF('Start Here'!$B$8="Paste Import",'Paste Import'!D79,'Manual Input'!D79)</f>
        <v/>
      </c>
      <c r="E79" s="15" t="str">
        <f>IF('Start Here'!$B$8="Paste Import",'Paste Import'!E79,'Manual Input'!E79)</f>
        <v/>
      </c>
      <c r="F79" s="15" t="str">
        <f>IF('Start Here'!$B$8="Paste Import",'Paste Import'!F79,'Manual Input'!F79)</f>
        <v/>
      </c>
      <c r="G79" s="15" t="str">
        <f>IF('Start Here'!$B$8="Paste Import",'Paste Import'!G79,'Manual Input'!G79)</f>
        <v/>
      </c>
      <c r="H79" s="15" t="str">
        <f>IF(B79="","",D79-E79)</f>
        <v/>
      </c>
      <c r="I79" s="15" t="str">
        <f>IF(B79="","",F79-G79)</f>
        <v/>
      </c>
      <c r="J79" s="15" t="str">
        <f>IF(B79="","",H79-I79)</f>
        <v/>
      </c>
      <c r="K79" s="16" t="str">
        <f>IF(B79="","",IF(I79=0,IF(H79=0,"","New"),J79/ABS(I79)))</f>
        <v/>
      </c>
      <c r="L79" s="14" t="str">
        <f>IF('Start Here'!$B$8="Paste Import",'Paste Import'!H79,'Manual Input'!H79)</f>
        <v/>
      </c>
      <c r="M79" s="15" t="str">
        <f>IF('Start Here'!$B$8="Paste Import",'Paste Import'!I79,'Manual Input'!I79)</f>
        <v/>
      </c>
      <c r="N79" s="15" t="str">
        <f>IF(B79="","",H79+M79)</f>
        <v/>
      </c>
      <c r="O79" s="14" t="str">
        <f>IF(B79="","",IF(OR(C79="",L79=""),"Unmapped","OK"))</f>
        <v/>
      </c>
      <c r="P79" s="14" t="str">
        <f>IF(B79="","",IF(OR(AND(OR(C79="Asset",C79="Expense"),H79&lt;0),AND(OR(C79="Liability",C79="Equity",C79="Revenue"),H79&gt;0)),"Unusual","OK"))</f>
        <v/>
      </c>
      <c r="Q79" s="14" t="str">
        <f>IF(B79="","",IF(AND(ABS(J79)&gt;='Start Here'!$B$10,IFERROR(ABS(K79)&gt;='Start Here'!$B$11,TRUE)),"Review","OK"))</f>
        <v/>
      </c>
      <c r="R79" s="14" t="str">
        <f>IF(B79="","",IF(OR(O79&lt;&gt;"OK",P79&lt;&gt;"OK",Q79&lt;&gt;"OK"),"Review","Complete"))</f>
        <v/>
      </c>
      <c r="S79" s="14" t="str">
        <f>IF('Start Here'!$B$8="Paste Import",'Paste Import'!J79,'Manual Input'!J79)</f>
        <v/>
      </c>
    </row>
    <row r="80" spans="1:19" x14ac:dyDescent="0.25">
      <c r="A80" s="14" t="str">
        <f>IF('Start Here'!$B$8="Paste Import",'Paste Import'!A80,'Manual Input'!A80)</f>
        <v/>
      </c>
      <c r="B80" s="14" t="str">
        <f>IF('Start Here'!$B$8="Paste Import",'Paste Import'!B80,'Manual Input'!B80)</f>
        <v/>
      </c>
      <c r="C80" s="14" t="str">
        <f>IF('Start Here'!$B$8="Paste Import",'Paste Import'!C80,'Manual Input'!C80)</f>
        <v/>
      </c>
      <c r="D80" s="15" t="str">
        <f>IF('Start Here'!$B$8="Paste Import",'Paste Import'!D80,'Manual Input'!D80)</f>
        <v/>
      </c>
      <c r="E80" s="15" t="str">
        <f>IF('Start Here'!$B$8="Paste Import",'Paste Import'!E80,'Manual Input'!E80)</f>
        <v/>
      </c>
      <c r="F80" s="15" t="str">
        <f>IF('Start Here'!$B$8="Paste Import",'Paste Import'!F80,'Manual Input'!F80)</f>
        <v/>
      </c>
      <c r="G80" s="15" t="str">
        <f>IF('Start Here'!$B$8="Paste Import",'Paste Import'!G80,'Manual Input'!G80)</f>
        <v/>
      </c>
      <c r="H80" s="15" t="str">
        <f>IF(B80="","",D80-E80)</f>
        <v/>
      </c>
      <c r="I80" s="15" t="str">
        <f>IF(B80="","",F80-G80)</f>
        <v/>
      </c>
      <c r="J80" s="15" t="str">
        <f>IF(B80="","",H80-I80)</f>
        <v/>
      </c>
      <c r="K80" s="16" t="str">
        <f>IF(B80="","",IF(I80=0,IF(H80=0,"","New"),J80/ABS(I80)))</f>
        <v/>
      </c>
      <c r="L80" s="14" t="str">
        <f>IF('Start Here'!$B$8="Paste Import",'Paste Import'!H80,'Manual Input'!H80)</f>
        <v/>
      </c>
      <c r="M80" s="15" t="str">
        <f>IF('Start Here'!$B$8="Paste Import",'Paste Import'!I80,'Manual Input'!I80)</f>
        <v/>
      </c>
      <c r="N80" s="15" t="str">
        <f>IF(B80="","",H80+M80)</f>
        <v/>
      </c>
      <c r="O80" s="14" t="str">
        <f>IF(B80="","",IF(OR(C80="",L80=""),"Unmapped","OK"))</f>
        <v/>
      </c>
      <c r="P80" s="14" t="str">
        <f>IF(B80="","",IF(OR(AND(OR(C80="Asset",C80="Expense"),H80&lt;0),AND(OR(C80="Liability",C80="Equity",C80="Revenue"),H80&gt;0)),"Unusual","OK"))</f>
        <v/>
      </c>
      <c r="Q80" s="14" t="str">
        <f>IF(B80="","",IF(AND(ABS(J80)&gt;='Start Here'!$B$10,IFERROR(ABS(K80)&gt;='Start Here'!$B$11,TRUE)),"Review","OK"))</f>
        <v/>
      </c>
      <c r="R80" s="14" t="str">
        <f>IF(B80="","",IF(OR(O80&lt;&gt;"OK",P80&lt;&gt;"OK",Q80&lt;&gt;"OK"),"Review","Complete"))</f>
        <v/>
      </c>
      <c r="S80" s="14" t="str">
        <f>IF('Start Here'!$B$8="Paste Import",'Paste Import'!J80,'Manual Input'!J80)</f>
        <v/>
      </c>
    </row>
    <row r="81" spans="1:19" x14ac:dyDescent="0.25">
      <c r="A81" s="14" t="str">
        <f>IF('Start Here'!$B$8="Paste Import",'Paste Import'!A81,'Manual Input'!A81)</f>
        <v/>
      </c>
      <c r="B81" s="14" t="str">
        <f>IF('Start Here'!$B$8="Paste Import",'Paste Import'!B81,'Manual Input'!B81)</f>
        <v/>
      </c>
      <c r="C81" s="14" t="str">
        <f>IF('Start Here'!$B$8="Paste Import",'Paste Import'!C81,'Manual Input'!C81)</f>
        <v/>
      </c>
      <c r="D81" s="15" t="str">
        <f>IF('Start Here'!$B$8="Paste Import",'Paste Import'!D81,'Manual Input'!D81)</f>
        <v/>
      </c>
      <c r="E81" s="15" t="str">
        <f>IF('Start Here'!$B$8="Paste Import",'Paste Import'!E81,'Manual Input'!E81)</f>
        <v/>
      </c>
      <c r="F81" s="15" t="str">
        <f>IF('Start Here'!$B$8="Paste Import",'Paste Import'!F81,'Manual Input'!F81)</f>
        <v/>
      </c>
      <c r="G81" s="15" t="str">
        <f>IF('Start Here'!$B$8="Paste Import",'Paste Import'!G81,'Manual Input'!G81)</f>
        <v/>
      </c>
      <c r="H81" s="15" t="str">
        <f>IF(B81="","",D81-E81)</f>
        <v/>
      </c>
      <c r="I81" s="15" t="str">
        <f>IF(B81="","",F81-G81)</f>
        <v/>
      </c>
      <c r="J81" s="15" t="str">
        <f>IF(B81="","",H81-I81)</f>
        <v/>
      </c>
      <c r="K81" s="16" t="str">
        <f>IF(B81="","",IF(I81=0,IF(H81=0,"","New"),J81/ABS(I81)))</f>
        <v/>
      </c>
      <c r="L81" s="14" t="str">
        <f>IF('Start Here'!$B$8="Paste Import",'Paste Import'!H81,'Manual Input'!H81)</f>
        <v/>
      </c>
      <c r="M81" s="15" t="str">
        <f>IF('Start Here'!$B$8="Paste Import",'Paste Import'!I81,'Manual Input'!I81)</f>
        <v/>
      </c>
      <c r="N81" s="15" t="str">
        <f>IF(B81="","",H81+M81)</f>
        <v/>
      </c>
      <c r="O81" s="14" t="str">
        <f>IF(B81="","",IF(OR(C81="",L81=""),"Unmapped","OK"))</f>
        <v/>
      </c>
      <c r="P81" s="14" t="str">
        <f>IF(B81="","",IF(OR(AND(OR(C81="Asset",C81="Expense"),H81&lt;0),AND(OR(C81="Liability",C81="Equity",C81="Revenue"),H81&gt;0)),"Unusual","OK"))</f>
        <v/>
      </c>
      <c r="Q81" s="14" t="str">
        <f>IF(B81="","",IF(AND(ABS(J81)&gt;='Start Here'!$B$10,IFERROR(ABS(K81)&gt;='Start Here'!$B$11,TRUE)),"Review","OK"))</f>
        <v/>
      </c>
      <c r="R81" s="14" t="str">
        <f>IF(B81="","",IF(OR(O81&lt;&gt;"OK",P81&lt;&gt;"OK",Q81&lt;&gt;"OK"),"Review","Complete"))</f>
        <v/>
      </c>
      <c r="S81" s="14" t="str">
        <f>IF('Start Here'!$B$8="Paste Import",'Paste Import'!J81,'Manual Input'!J81)</f>
        <v/>
      </c>
    </row>
    <row r="82" spans="1:19" x14ac:dyDescent="0.25">
      <c r="A82" s="14" t="str">
        <f>IF('Start Here'!$B$8="Paste Import",'Paste Import'!A82,'Manual Input'!A82)</f>
        <v/>
      </c>
      <c r="B82" s="14" t="str">
        <f>IF('Start Here'!$B$8="Paste Import",'Paste Import'!B82,'Manual Input'!B82)</f>
        <v/>
      </c>
      <c r="C82" s="14" t="str">
        <f>IF('Start Here'!$B$8="Paste Import",'Paste Import'!C82,'Manual Input'!C82)</f>
        <v/>
      </c>
      <c r="D82" s="15" t="str">
        <f>IF('Start Here'!$B$8="Paste Import",'Paste Import'!D82,'Manual Input'!D82)</f>
        <v/>
      </c>
      <c r="E82" s="15" t="str">
        <f>IF('Start Here'!$B$8="Paste Import",'Paste Import'!E82,'Manual Input'!E82)</f>
        <v/>
      </c>
      <c r="F82" s="15" t="str">
        <f>IF('Start Here'!$B$8="Paste Import",'Paste Import'!F82,'Manual Input'!F82)</f>
        <v/>
      </c>
      <c r="G82" s="15" t="str">
        <f>IF('Start Here'!$B$8="Paste Import",'Paste Import'!G82,'Manual Input'!G82)</f>
        <v/>
      </c>
      <c r="H82" s="15" t="str">
        <f>IF(B82="","",D82-E82)</f>
        <v/>
      </c>
      <c r="I82" s="15" t="str">
        <f>IF(B82="","",F82-G82)</f>
        <v/>
      </c>
      <c r="J82" s="15" t="str">
        <f>IF(B82="","",H82-I82)</f>
        <v/>
      </c>
      <c r="K82" s="16" t="str">
        <f>IF(B82="","",IF(I82=0,IF(H82=0,"","New"),J82/ABS(I82)))</f>
        <v/>
      </c>
      <c r="L82" s="14" t="str">
        <f>IF('Start Here'!$B$8="Paste Import",'Paste Import'!H82,'Manual Input'!H82)</f>
        <v/>
      </c>
      <c r="M82" s="15" t="str">
        <f>IF('Start Here'!$B$8="Paste Import",'Paste Import'!I82,'Manual Input'!I82)</f>
        <v/>
      </c>
      <c r="N82" s="15" t="str">
        <f>IF(B82="","",H82+M82)</f>
        <v/>
      </c>
      <c r="O82" s="14" t="str">
        <f>IF(B82="","",IF(OR(C82="",L82=""),"Unmapped","OK"))</f>
        <v/>
      </c>
      <c r="P82" s="14" t="str">
        <f>IF(B82="","",IF(OR(AND(OR(C82="Asset",C82="Expense"),H82&lt;0),AND(OR(C82="Liability",C82="Equity",C82="Revenue"),H82&gt;0)),"Unusual","OK"))</f>
        <v/>
      </c>
      <c r="Q82" s="14" t="str">
        <f>IF(B82="","",IF(AND(ABS(J82)&gt;='Start Here'!$B$10,IFERROR(ABS(K82)&gt;='Start Here'!$B$11,TRUE)),"Review","OK"))</f>
        <v/>
      </c>
      <c r="R82" s="14" t="str">
        <f>IF(B82="","",IF(OR(O82&lt;&gt;"OK",P82&lt;&gt;"OK",Q82&lt;&gt;"OK"),"Review","Complete"))</f>
        <v/>
      </c>
      <c r="S82" s="14" t="str">
        <f>IF('Start Here'!$B$8="Paste Import",'Paste Import'!J82,'Manual Input'!J82)</f>
        <v/>
      </c>
    </row>
    <row r="83" spans="1:19" x14ac:dyDescent="0.25">
      <c r="A83" s="14" t="str">
        <f>IF('Start Here'!$B$8="Paste Import",'Paste Import'!A83,'Manual Input'!A83)</f>
        <v/>
      </c>
      <c r="B83" s="14" t="str">
        <f>IF('Start Here'!$B$8="Paste Import",'Paste Import'!B83,'Manual Input'!B83)</f>
        <v/>
      </c>
      <c r="C83" s="14" t="str">
        <f>IF('Start Here'!$B$8="Paste Import",'Paste Import'!C83,'Manual Input'!C83)</f>
        <v/>
      </c>
      <c r="D83" s="15" t="str">
        <f>IF('Start Here'!$B$8="Paste Import",'Paste Import'!D83,'Manual Input'!D83)</f>
        <v/>
      </c>
      <c r="E83" s="15" t="str">
        <f>IF('Start Here'!$B$8="Paste Import",'Paste Import'!E83,'Manual Input'!E83)</f>
        <v/>
      </c>
      <c r="F83" s="15" t="str">
        <f>IF('Start Here'!$B$8="Paste Import",'Paste Import'!F83,'Manual Input'!F83)</f>
        <v/>
      </c>
      <c r="G83" s="15" t="str">
        <f>IF('Start Here'!$B$8="Paste Import",'Paste Import'!G83,'Manual Input'!G83)</f>
        <v/>
      </c>
      <c r="H83" s="15" t="str">
        <f>IF(B83="","",D83-E83)</f>
        <v/>
      </c>
      <c r="I83" s="15" t="str">
        <f>IF(B83="","",F83-G83)</f>
        <v/>
      </c>
      <c r="J83" s="15" t="str">
        <f>IF(B83="","",H83-I83)</f>
        <v/>
      </c>
      <c r="K83" s="16" t="str">
        <f>IF(B83="","",IF(I83=0,IF(H83=0,"","New"),J83/ABS(I83)))</f>
        <v/>
      </c>
      <c r="L83" s="14" t="str">
        <f>IF('Start Here'!$B$8="Paste Import",'Paste Import'!H83,'Manual Input'!H83)</f>
        <v/>
      </c>
      <c r="M83" s="15" t="str">
        <f>IF('Start Here'!$B$8="Paste Import",'Paste Import'!I83,'Manual Input'!I83)</f>
        <v/>
      </c>
      <c r="N83" s="15" t="str">
        <f>IF(B83="","",H83+M83)</f>
        <v/>
      </c>
      <c r="O83" s="14" t="str">
        <f>IF(B83="","",IF(OR(C83="",L83=""),"Unmapped","OK"))</f>
        <v/>
      </c>
      <c r="P83" s="14" t="str">
        <f>IF(B83="","",IF(OR(AND(OR(C83="Asset",C83="Expense"),H83&lt;0),AND(OR(C83="Liability",C83="Equity",C83="Revenue"),H83&gt;0)),"Unusual","OK"))</f>
        <v/>
      </c>
      <c r="Q83" s="14" t="str">
        <f>IF(B83="","",IF(AND(ABS(J83)&gt;='Start Here'!$B$10,IFERROR(ABS(K83)&gt;='Start Here'!$B$11,TRUE)),"Review","OK"))</f>
        <v/>
      </c>
      <c r="R83" s="14" t="str">
        <f>IF(B83="","",IF(OR(O83&lt;&gt;"OK",P83&lt;&gt;"OK",Q83&lt;&gt;"OK"),"Review","Complete"))</f>
        <v/>
      </c>
      <c r="S83" s="14" t="str">
        <f>IF('Start Here'!$B$8="Paste Import",'Paste Import'!J83,'Manual Input'!J83)</f>
        <v/>
      </c>
    </row>
    <row r="84" spans="1:19" x14ac:dyDescent="0.25">
      <c r="A84" s="14" t="str">
        <f>IF('Start Here'!$B$8="Paste Import",'Paste Import'!A84,'Manual Input'!A84)</f>
        <v/>
      </c>
      <c r="B84" s="14" t="str">
        <f>IF('Start Here'!$B$8="Paste Import",'Paste Import'!B84,'Manual Input'!B84)</f>
        <v/>
      </c>
      <c r="C84" s="14" t="str">
        <f>IF('Start Here'!$B$8="Paste Import",'Paste Import'!C84,'Manual Input'!C84)</f>
        <v/>
      </c>
      <c r="D84" s="15" t="str">
        <f>IF('Start Here'!$B$8="Paste Import",'Paste Import'!D84,'Manual Input'!D84)</f>
        <v/>
      </c>
      <c r="E84" s="15" t="str">
        <f>IF('Start Here'!$B$8="Paste Import",'Paste Import'!E84,'Manual Input'!E84)</f>
        <v/>
      </c>
      <c r="F84" s="15" t="str">
        <f>IF('Start Here'!$B$8="Paste Import",'Paste Import'!F84,'Manual Input'!F84)</f>
        <v/>
      </c>
      <c r="G84" s="15" t="str">
        <f>IF('Start Here'!$B$8="Paste Import",'Paste Import'!G84,'Manual Input'!G84)</f>
        <v/>
      </c>
      <c r="H84" s="15" t="str">
        <f>IF(B84="","",D84-E84)</f>
        <v/>
      </c>
      <c r="I84" s="15" t="str">
        <f>IF(B84="","",F84-G84)</f>
        <v/>
      </c>
      <c r="J84" s="15" t="str">
        <f>IF(B84="","",H84-I84)</f>
        <v/>
      </c>
      <c r="K84" s="16" t="str">
        <f>IF(B84="","",IF(I84=0,IF(H84=0,"","New"),J84/ABS(I84)))</f>
        <v/>
      </c>
      <c r="L84" s="14" t="str">
        <f>IF('Start Here'!$B$8="Paste Import",'Paste Import'!H84,'Manual Input'!H84)</f>
        <v/>
      </c>
      <c r="M84" s="15" t="str">
        <f>IF('Start Here'!$B$8="Paste Import",'Paste Import'!I84,'Manual Input'!I84)</f>
        <v/>
      </c>
      <c r="N84" s="15" t="str">
        <f>IF(B84="","",H84+M84)</f>
        <v/>
      </c>
      <c r="O84" s="14" t="str">
        <f>IF(B84="","",IF(OR(C84="",L84=""),"Unmapped","OK"))</f>
        <v/>
      </c>
      <c r="P84" s="14" t="str">
        <f>IF(B84="","",IF(OR(AND(OR(C84="Asset",C84="Expense"),H84&lt;0),AND(OR(C84="Liability",C84="Equity",C84="Revenue"),H84&gt;0)),"Unusual","OK"))</f>
        <v/>
      </c>
      <c r="Q84" s="14" t="str">
        <f>IF(B84="","",IF(AND(ABS(J84)&gt;='Start Here'!$B$10,IFERROR(ABS(K84)&gt;='Start Here'!$B$11,TRUE)),"Review","OK"))</f>
        <v/>
      </c>
      <c r="R84" s="14" t="str">
        <f>IF(B84="","",IF(OR(O84&lt;&gt;"OK",P84&lt;&gt;"OK",Q84&lt;&gt;"OK"),"Review","Complete"))</f>
        <v/>
      </c>
      <c r="S84" s="14" t="str">
        <f>IF('Start Here'!$B$8="Paste Import",'Paste Import'!J84,'Manual Input'!J84)</f>
        <v/>
      </c>
    </row>
    <row r="85" spans="1:19" x14ac:dyDescent="0.25">
      <c r="A85" s="14" t="str">
        <f>IF('Start Here'!$B$8="Paste Import",'Paste Import'!A85,'Manual Input'!A85)</f>
        <v/>
      </c>
      <c r="B85" s="14" t="str">
        <f>IF('Start Here'!$B$8="Paste Import",'Paste Import'!B85,'Manual Input'!B85)</f>
        <v/>
      </c>
      <c r="C85" s="14" t="str">
        <f>IF('Start Here'!$B$8="Paste Import",'Paste Import'!C85,'Manual Input'!C85)</f>
        <v/>
      </c>
      <c r="D85" s="15" t="str">
        <f>IF('Start Here'!$B$8="Paste Import",'Paste Import'!D85,'Manual Input'!D85)</f>
        <v/>
      </c>
      <c r="E85" s="15" t="str">
        <f>IF('Start Here'!$B$8="Paste Import",'Paste Import'!E85,'Manual Input'!E85)</f>
        <v/>
      </c>
      <c r="F85" s="15" t="str">
        <f>IF('Start Here'!$B$8="Paste Import",'Paste Import'!F85,'Manual Input'!F85)</f>
        <v/>
      </c>
      <c r="G85" s="15" t="str">
        <f>IF('Start Here'!$B$8="Paste Import",'Paste Import'!G85,'Manual Input'!G85)</f>
        <v/>
      </c>
      <c r="H85" s="15" t="str">
        <f>IF(B85="","",D85-E85)</f>
        <v/>
      </c>
      <c r="I85" s="15" t="str">
        <f>IF(B85="","",F85-G85)</f>
        <v/>
      </c>
      <c r="J85" s="15" t="str">
        <f>IF(B85="","",H85-I85)</f>
        <v/>
      </c>
      <c r="K85" s="16" t="str">
        <f>IF(B85="","",IF(I85=0,IF(H85=0,"","New"),J85/ABS(I85)))</f>
        <v/>
      </c>
      <c r="L85" s="14" t="str">
        <f>IF('Start Here'!$B$8="Paste Import",'Paste Import'!H85,'Manual Input'!H85)</f>
        <v/>
      </c>
      <c r="M85" s="15" t="str">
        <f>IF('Start Here'!$B$8="Paste Import",'Paste Import'!I85,'Manual Input'!I85)</f>
        <v/>
      </c>
      <c r="N85" s="15" t="str">
        <f>IF(B85="","",H85+M85)</f>
        <v/>
      </c>
      <c r="O85" s="14" t="str">
        <f>IF(B85="","",IF(OR(C85="",L85=""),"Unmapped","OK"))</f>
        <v/>
      </c>
      <c r="P85" s="14" t="str">
        <f>IF(B85="","",IF(OR(AND(OR(C85="Asset",C85="Expense"),H85&lt;0),AND(OR(C85="Liability",C85="Equity",C85="Revenue"),H85&gt;0)),"Unusual","OK"))</f>
        <v/>
      </c>
      <c r="Q85" s="14" t="str">
        <f>IF(B85="","",IF(AND(ABS(J85)&gt;='Start Here'!$B$10,IFERROR(ABS(K85)&gt;='Start Here'!$B$11,TRUE)),"Review","OK"))</f>
        <v/>
      </c>
      <c r="R85" s="14" t="str">
        <f>IF(B85="","",IF(OR(O85&lt;&gt;"OK",P85&lt;&gt;"OK",Q85&lt;&gt;"OK"),"Review","Complete"))</f>
        <v/>
      </c>
      <c r="S85" s="14" t="str">
        <f>IF('Start Here'!$B$8="Paste Import",'Paste Import'!J85,'Manual Input'!J85)</f>
        <v/>
      </c>
    </row>
    <row r="86" spans="1:19" x14ac:dyDescent="0.25">
      <c r="A86" s="14" t="str">
        <f>IF('Start Here'!$B$8="Paste Import",'Paste Import'!A86,'Manual Input'!A86)</f>
        <v/>
      </c>
      <c r="B86" s="14" t="str">
        <f>IF('Start Here'!$B$8="Paste Import",'Paste Import'!B86,'Manual Input'!B86)</f>
        <v/>
      </c>
      <c r="C86" s="14" t="str">
        <f>IF('Start Here'!$B$8="Paste Import",'Paste Import'!C86,'Manual Input'!C86)</f>
        <v/>
      </c>
      <c r="D86" s="15" t="str">
        <f>IF('Start Here'!$B$8="Paste Import",'Paste Import'!D86,'Manual Input'!D86)</f>
        <v/>
      </c>
      <c r="E86" s="15" t="str">
        <f>IF('Start Here'!$B$8="Paste Import",'Paste Import'!E86,'Manual Input'!E86)</f>
        <v/>
      </c>
      <c r="F86" s="15" t="str">
        <f>IF('Start Here'!$B$8="Paste Import",'Paste Import'!F86,'Manual Input'!F86)</f>
        <v/>
      </c>
      <c r="G86" s="15" t="str">
        <f>IF('Start Here'!$B$8="Paste Import",'Paste Import'!G86,'Manual Input'!G86)</f>
        <v/>
      </c>
      <c r="H86" s="15" t="str">
        <f>IF(B86="","",D86-E86)</f>
        <v/>
      </c>
      <c r="I86" s="15" t="str">
        <f>IF(B86="","",F86-G86)</f>
        <v/>
      </c>
      <c r="J86" s="15" t="str">
        <f>IF(B86="","",H86-I86)</f>
        <v/>
      </c>
      <c r="K86" s="16" t="str">
        <f>IF(B86="","",IF(I86=0,IF(H86=0,"","New"),J86/ABS(I86)))</f>
        <v/>
      </c>
      <c r="L86" s="14" t="str">
        <f>IF('Start Here'!$B$8="Paste Import",'Paste Import'!H86,'Manual Input'!H86)</f>
        <v/>
      </c>
      <c r="M86" s="15" t="str">
        <f>IF('Start Here'!$B$8="Paste Import",'Paste Import'!I86,'Manual Input'!I86)</f>
        <v/>
      </c>
      <c r="N86" s="15" t="str">
        <f>IF(B86="","",H86+M86)</f>
        <v/>
      </c>
      <c r="O86" s="14" t="str">
        <f>IF(B86="","",IF(OR(C86="",L86=""),"Unmapped","OK"))</f>
        <v/>
      </c>
      <c r="P86" s="14" t="str">
        <f>IF(B86="","",IF(OR(AND(OR(C86="Asset",C86="Expense"),H86&lt;0),AND(OR(C86="Liability",C86="Equity",C86="Revenue"),H86&gt;0)),"Unusual","OK"))</f>
        <v/>
      </c>
      <c r="Q86" s="14" t="str">
        <f>IF(B86="","",IF(AND(ABS(J86)&gt;='Start Here'!$B$10,IFERROR(ABS(K86)&gt;='Start Here'!$B$11,TRUE)),"Review","OK"))</f>
        <v/>
      </c>
      <c r="R86" s="14" t="str">
        <f>IF(B86="","",IF(OR(O86&lt;&gt;"OK",P86&lt;&gt;"OK",Q86&lt;&gt;"OK"),"Review","Complete"))</f>
        <v/>
      </c>
      <c r="S86" s="14" t="str">
        <f>IF('Start Here'!$B$8="Paste Import",'Paste Import'!J86,'Manual Input'!J86)</f>
        <v/>
      </c>
    </row>
    <row r="87" spans="1:19" x14ac:dyDescent="0.25">
      <c r="A87" s="14" t="str">
        <f>IF('Start Here'!$B$8="Paste Import",'Paste Import'!A87,'Manual Input'!A87)</f>
        <v/>
      </c>
      <c r="B87" s="14" t="str">
        <f>IF('Start Here'!$B$8="Paste Import",'Paste Import'!B87,'Manual Input'!B87)</f>
        <v/>
      </c>
      <c r="C87" s="14" t="str">
        <f>IF('Start Here'!$B$8="Paste Import",'Paste Import'!C87,'Manual Input'!C87)</f>
        <v/>
      </c>
      <c r="D87" s="15" t="str">
        <f>IF('Start Here'!$B$8="Paste Import",'Paste Import'!D87,'Manual Input'!D87)</f>
        <v/>
      </c>
      <c r="E87" s="15" t="str">
        <f>IF('Start Here'!$B$8="Paste Import",'Paste Import'!E87,'Manual Input'!E87)</f>
        <v/>
      </c>
      <c r="F87" s="15" t="str">
        <f>IF('Start Here'!$B$8="Paste Import",'Paste Import'!F87,'Manual Input'!F87)</f>
        <v/>
      </c>
      <c r="G87" s="15" t="str">
        <f>IF('Start Here'!$B$8="Paste Import",'Paste Import'!G87,'Manual Input'!G87)</f>
        <v/>
      </c>
      <c r="H87" s="15" t="str">
        <f>IF(B87="","",D87-E87)</f>
        <v/>
      </c>
      <c r="I87" s="15" t="str">
        <f>IF(B87="","",F87-G87)</f>
        <v/>
      </c>
      <c r="J87" s="15" t="str">
        <f>IF(B87="","",H87-I87)</f>
        <v/>
      </c>
      <c r="K87" s="16" t="str">
        <f>IF(B87="","",IF(I87=0,IF(H87=0,"","New"),J87/ABS(I87)))</f>
        <v/>
      </c>
      <c r="L87" s="14" t="str">
        <f>IF('Start Here'!$B$8="Paste Import",'Paste Import'!H87,'Manual Input'!H87)</f>
        <v/>
      </c>
      <c r="M87" s="15" t="str">
        <f>IF('Start Here'!$B$8="Paste Import",'Paste Import'!I87,'Manual Input'!I87)</f>
        <v/>
      </c>
      <c r="N87" s="15" t="str">
        <f>IF(B87="","",H87+M87)</f>
        <v/>
      </c>
      <c r="O87" s="14" t="str">
        <f>IF(B87="","",IF(OR(C87="",L87=""),"Unmapped","OK"))</f>
        <v/>
      </c>
      <c r="P87" s="14" t="str">
        <f>IF(B87="","",IF(OR(AND(OR(C87="Asset",C87="Expense"),H87&lt;0),AND(OR(C87="Liability",C87="Equity",C87="Revenue"),H87&gt;0)),"Unusual","OK"))</f>
        <v/>
      </c>
      <c r="Q87" s="14" t="str">
        <f>IF(B87="","",IF(AND(ABS(J87)&gt;='Start Here'!$B$10,IFERROR(ABS(K87)&gt;='Start Here'!$B$11,TRUE)),"Review","OK"))</f>
        <v/>
      </c>
      <c r="R87" s="14" t="str">
        <f>IF(B87="","",IF(OR(O87&lt;&gt;"OK",P87&lt;&gt;"OK",Q87&lt;&gt;"OK"),"Review","Complete"))</f>
        <v/>
      </c>
      <c r="S87" s="14" t="str">
        <f>IF('Start Here'!$B$8="Paste Import",'Paste Import'!J87,'Manual Input'!J87)</f>
        <v/>
      </c>
    </row>
    <row r="88" spans="1:19" x14ac:dyDescent="0.25">
      <c r="A88" s="14" t="str">
        <f>IF('Start Here'!$B$8="Paste Import",'Paste Import'!A88,'Manual Input'!A88)</f>
        <v/>
      </c>
      <c r="B88" s="14" t="str">
        <f>IF('Start Here'!$B$8="Paste Import",'Paste Import'!B88,'Manual Input'!B88)</f>
        <v/>
      </c>
      <c r="C88" s="14" t="str">
        <f>IF('Start Here'!$B$8="Paste Import",'Paste Import'!C88,'Manual Input'!C88)</f>
        <v/>
      </c>
      <c r="D88" s="15" t="str">
        <f>IF('Start Here'!$B$8="Paste Import",'Paste Import'!D88,'Manual Input'!D88)</f>
        <v/>
      </c>
      <c r="E88" s="15" t="str">
        <f>IF('Start Here'!$B$8="Paste Import",'Paste Import'!E88,'Manual Input'!E88)</f>
        <v/>
      </c>
      <c r="F88" s="15" t="str">
        <f>IF('Start Here'!$B$8="Paste Import",'Paste Import'!F88,'Manual Input'!F88)</f>
        <v/>
      </c>
      <c r="G88" s="15" t="str">
        <f>IF('Start Here'!$B$8="Paste Import",'Paste Import'!G88,'Manual Input'!G88)</f>
        <v/>
      </c>
      <c r="H88" s="15" t="str">
        <f>IF(B88="","",D88-E88)</f>
        <v/>
      </c>
      <c r="I88" s="15" t="str">
        <f>IF(B88="","",F88-G88)</f>
        <v/>
      </c>
      <c r="J88" s="15" t="str">
        <f>IF(B88="","",H88-I88)</f>
        <v/>
      </c>
      <c r="K88" s="16" t="str">
        <f>IF(B88="","",IF(I88=0,IF(H88=0,"","New"),J88/ABS(I88)))</f>
        <v/>
      </c>
      <c r="L88" s="14" t="str">
        <f>IF('Start Here'!$B$8="Paste Import",'Paste Import'!H88,'Manual Input'!H88)</f>
        <v/>
      </c>
      <c r="M88" s="15" t="str">
        <f>IF('Start Here'!$B$8="Paste Import",'Paste Import'!I88,'Manual Input'!I88)</f>
        <v/>
      </c>
      <c r="N88" s="15" t="str">
        <f>IF(B88="","",H88+M88)</f>
        <v/>
      </c>
      <c r="O88" s="14" t="str">
        <f>IF(B88="","",IF(OR(C88="",L88=""),"Unmapped","OK"))</f>
        <v/>
      </c>
      <c r="P88" s="14" t="str">
        <f>IF(B88="","",IF(OR(AND(OR(C88="Asset",C88="Expense"),H88&lt;0),AND(OR(C88="Liability",C88="Equity",C88="Revenue"),H88&gt;0)),"Unusual","OK"))</f>
        <v/>
      </c>
      <c r="Q88" s="14" t="str">
        <f>IF(B88="","",IF(AND(ABS(J88)&gt;='Start Here'!$B$10,IFERROR(ABS(K88)&gt;='Start Here'!$B$11,TRUE)),"Review","OK"))</f>
        <v/>
      </c>
      <c r="R88" s="14" t="str">
        <f>IF(B88="","",IF(OR(O88&lt;&gt;"OK",P88&lt;&gt;"OK",Q88&lt;&gt;"OK"),"Review","Complete"))</f>
        <v/>
      </c>
      <c r="S88" s="14" t="str">
        <f>IF('Start Here'!$B$8="Paste Import",'Paste Import'!J88,'Manual Input'!J88)</f>
        <v/>
      </c>
    </row>
    <row r="89" spans="1:19" x14ac:dyDescent="0.25">
      <c r="A89" s="14" t="str">
        <f>IF('Start Here'!$B$8="Paste Import",'Paste Import'!A89,'Manual Input'!A89)</f>
        <v/>
      </c>
      <c r="B89" s="14" t="str">
        <f>IF('Start Here'!$B$8="Paste Import",'Paste Import'!B89,'Manual Input'!B89)</f>
        <v/>
      </c>
      <c r="C89" s="14" t="str">
        <f>IF('Start Here'!$B$8="Paste Import",'Paste Import'!C89,'Manual Input'!C89)</f>
        <v/>
      </c>
      <c r="D89" s="15" t="str">
        <f>IF('Start Here'!$B$8="Paste Import",'Paste Import'!D89,'Manual Input'!D89)</f>
        <v/>
      </c>
      <c r="E89" s="15" t="str">
        <f>IF('Start Here'!$B$8="Paste Import",'Paste Import'!E89,'Manual Input'!E89)</f>
        <v/>
      </c>
      <c r="F89" s="15" t="str">
        <f>IF('Start Here'!$B$8="Paste Import",'Paste Import'!F89,'Manual Input'!F89)</f>
        <v/>
      </c>
      <c r="G89" s="15" t="str">
        <f>IF('Start Here'!$B$8="Paste Import",'Paste Import'!G89,'Manual Input'!G89)</f>
        <v/>
      </c>
      <c r="H89" s="15" t="str">
        <f>IF(B89="","",D89-E89)</f>
        <v/>
      </c>
      <c r="I89" s="15" t="str">
        <f>IF(B89="","",F89-G89)</f>
        <v/>
      </c>
      <c r="J89" s="15" t="str">
        <f>IF(B89="","",H89-I89)</f>
        <v/>
      </c>
      <c r="K89" s="16" t="str">
        <f>IF(B89="","",IF(I89=0,IF(H89=0,"","New"),J89/ABS(I89)))</f>
        <v/>
      </c>
      <c r="L89" s="14" t="str">
        <f>IF('Start Here'!$B$8="Paste Import",'Paste Import'!H89,'Manual Input'!H89)</f>
        <v/>
      </c>
      <c r="M89" s="15" t="str">
        <f>IF('Start Here'!$B$8="Paste Import",'Paste Import'!I89,'Manual Input'!I89)</f>
        <v/>
      </c>
      <c r="N89" s="15" t="str">
        <f>IF(B89="","",H89+M89)</f>
        <v/>
      </c>
      <c r="O89" s="14" t="str">
        <f>IF(B89="","",IF(OR(C89="",L89=""),"Unmapped","OK"))</f>
        <v/>
      </c>
      <c r="P89" s="14" t="str">
        <f>IF(B89="","",IF(OR(AND(OR(C89="Asset",C89="Expense"),H89&lt;0),AND(OR(C89="Liability",C89="Equity",C89="Revenue"),H89&gt;0)),"Unusual","OK"))</f>
        <v/>
      </c>
      <c r="Q89" s="14" t="str">
        <f>IF(B89="","",IF(AND(ABS(J89)&gt;='Start Here'!$B$10,IFERROR(ABS(K89)&gt;='Start Here'!$B$11,TRUE)),"Review","OK"))</f>
        <v/>
      </c>
      <c r="R89" s="14" t="str">
        <f>IF(B89="","",IF(OR(O89&lt;&gt;"OK",P89&lt;&gt;"OK",Q89&lt;&gt;"OK"),"Review","Complete"))</f>
        <v/>
      </c>
      <c r="S89" s="14" t="str">
        <f>IF('Start Here'!$B$8="Paste Import",'Paste Import'!J89,'Manual Input'!J89)</f>
        <v/>
      </c>
    </row>
    <row r="90" spans="1:19" x14ac:dyDescent="0.25">
      <c r="A90" s="14" t="str">
        <f>IF('Start Here'!$B$8="Paste Import",'Paste Import'!A90,'Manual Input'!A90)</f>
        <v/>
      </c>
      <c r="B90" s="14" t="str">
        <f>IF('Start Here'!$B$8="Paste Import",'Paste Import'!B90,'Manual Input'!B90)</f>
        <v/>
      </c>
      <c r="C90" s="14" t="str">
        <f>IF('Start Here'!$B$8="Paste Import",'Paste Import'!C90,'Manual Input'!C90)</f>
        <v/>
      </c>
      <c r="D90" s="15" t="str">
        <f>IF('Start Here'!$B$8="Paste Import",'Paste Import'!D90,'Manual Input'!D90)</f>
        <v/>
      </c>
      <c r="E90" s="15" t="str">
        <f>IF('Start Here'!$B$8="Paste Import",'Paste Import'!E90,'Manual Input'!E90)</f>
        <v/>
      </c>
      <c r="F90" s="15" t="str">
        <f>IF('Start Here'!$B$8="Paste Import",'Paste Import'!F90,'Manual Input'!F90)</f>
        <v/>
      </c>
      <c r="G90" s="15" t="str">
        <f>IF('Start Here'!$B$8="Paste Import",'Paste Import'!G90,'Manual Input'!G90)</f>
        <v/>
      </c>
      <c r="H90" s="15" t="str">
        <f>IF(B90="","",D90-E90)</f>
        <v/>
      </c>
      <c r="I90" s="15" t="str">
        <f>IF(B90="","",F90-G90)</f>
        <v/>
      </c>
      <c r="J90" s="15" t="str">
        <f>IF(B90="","",H90-I90)</f>
        <v/>
      </c>
      <c r="K90" s="16" t="str">
        <f>IF(B90="","",IF(I90=0,IF(H90=0,"","New"),J90/ABS(I90)))</f>
        <v/>
      </c>
      <c r="L90" s="14" t="str">
        <f>IF('Start Here'!$B$8="Paste Import",'Paste Import'!H90,'Manual Input'!H90)</f>
        <v/>
      </c>
      <c r="M90" s="15" t="str">
        <f>IF('Start Here'!$B$8="Paste Import",'Paste Import'!I90,'Manual Input'!I90)</f>
        <v/>
      </c>
      <c r="N90" s="15" t="str">
        <f>IF(B90="","",H90+M90)</f>
        <v/>
      </c>
      <c r="O90" s="14" t="str">
        <f>IF(B90="","",IF(OR(C90="",L90=""),"Unmapped","OK"))</f>
        <v/>
      </c>
      <c r="P90" s="14" t="str">
        <f>IF(B90="","",IF(OR(AND(OR(C90="Asset",C90="Expense"),H90&lt;0),AND(OR(C90="Liability",C90="Equity",C90="Revenue"),H90&gt;0)),"Unusual","OK"))</f>
        <v/>
      </c>
      <c r="Q90" s="14" t="str">
        <f>IF(B90="","",IF(AND(ABS(J90)&gt;='Start Here'!$B$10,IFERROR(ABS(K90)&gt;='Start Here'!$B$11,TRUE)),"Review","OK"))</f>
        <v/>
      </c>
      <c r="R90" s="14" t="str">
        <f>IF(B90="","",IF(OR(O90&lt;&gt;"OK",P90&lt;&gt;"OK",Q90&lt;&gt;"OK"),"Review","Complete"))</f>
        <v/>
      </c>
      <c r="S90" s="14" t="str">
        <f>IF('Start Here'!$B$8="Paste Import",'Paste Import'!J90,'Manual Input'!J90)</f>
        <v/>
      </c>
    </row>
    <row r="91" spans="1:19" x14ac:dyDescent="0.25">
      <c r="A91" s="14" t="str">
        <f>IF('Start Here'!$B$8="Paste Import",'Paste Import'!A91,'Manual Input'!A91)</f>
        <v/>
      </c>
      <c r="B91" s="14" t="str">
        <f>IF('Start Here'!$B$8="Paste Import",'Paste Import'!B91,'Manual Input'!B91)</f>
        <v/>
      </c>
      <c r="C91" s="14" t="str">
        <f>IF('Start Here'!$B$8="Paste Import",'Paste Import'!C91,'Manual Input'!C91)</f>
        <v/>
      </c>
      <c r="D91" s="15" t="str">
        <f>IF('Start Here'!$B$8="Paste Import",'Paste Import'!D91,'Manual Input'!D91)</f>
        <v/>
      </c>
      <c r="E91" s="15" t="str">
        <f>IF('Start Here'!$B$8="Paste Import",'Paste Import'!E91,'Manual Input'!E91)</f>
        <v/>
      </c>
      <c r="F91" s="15" t="str">
        <f>IF('Start Here'!$B$8="Paste Import",'Paste Import'!F91,'Manual Input'!F91)</f>
        <v/>
      </c>
      <c r="G91" s="15" t="str">
        <f>IF('Start Here'!$B$8="Paste Import",'Paste Import'!G91,'Manual Input'!G91)</f>
        <v/>
      </c>
      <c r="H91" s="15" t="str">
        <f>IF(B91="","",D91-E91)</f>
        <v/>
      </c>
      <c r="I91" s="15" t="str">
        <f>IF(B91="","",F91-G91)</f>
        <v/>
      </c>
      <c r="J91" s="15" t="str">
        <f>IF(B91="","",H91-I91)</f>
        <v/>
      </c>
      <c r="K91" s="16" t="str">
        <f>IF(B91="","",IF(I91=0,IF(H91=0,"","New"),J91/ABS(I91)))</f>
        <v/>
      </c>
      <c r="L91" s="14" t="str">
        <f>IF('Start Here'!$B$8="Paste Import",'Paste Import'!H91,'Manual Input'!H91)</f>
        <v/>
      </c>
      <c r="M91" s="15" t="str">
        <f>IF('Start Here'!$B$8="Paste Import",'Paste Import'!I91,'Manual Input'!I91)</f>
        <v/>
      </c>
      <c r="N91" s="15" t="str">
        <f>IF(B91="","",H91+M91)</f>
        <v/>
      </c>
      <c r="O91" s="14" t="str">
        <f>IF(B91="","",IF(OR(C91="",L91=""),"Unmapped","OK"))</f>
        <v/>
      </c>
      <c r="P91" s="14" t="str">
        <f>IF(B91="","",IF(OR(AND(OR(C91="Asset",C91="Expense"),H91&lt;0),AND(OR(C91="Liability",C91="Equity",C91="Revenue"),H91&gt;0)),"Unusual","OK"))</f>
        <v/>
      </c>
      <c r="Q91" s="14" t="str">
        <f>IF(B91="","",IF(AND(ABS(J91)&gt;='Start Here'!$B$10,IFERROR(ABS(K91)&gt;='Start Here'!$B$11,TRUE)),"Review","OK"))</f>
        <v/>
      </c>
      <c r="R91" s="14" t="str">
        <f>IF(B91="","",IF(OR(O91&lt;&gt;"OK",P91&lt;&gt;"OK",Q91&lt;&gt;"OK"),"Review","Complete"))</f>
        <v/>
      </c>
      <c r="S91" s="14" t="str">
        <f>IF('Start Here'!$B$8="Paste Import",'Paste Import'!J91,'Manual Input'!J91)</f>
        <v/>
      </c>
    </row>
    <row r="92" spans="1:19" x14ac:dyDescent="0.25">
      <c r="A92" s="14" t="str">
        <f>IF('Start Here'!$B$8="Paste Import",'Paste Import'!A92,'Manual Input'!A92)</f>
        <v/>
      </c>
      <c r="B92" s="14" t="str">
        <f>IF('Start Here'!$B$8="Paste Import",'Paste Import'!B92,'Manual Input'!B92)</f>
        <v/>
      </c>
      <c r="C92" s="14" t="str">
        <f>IF('Start Here'!$B$8="Paste Import",'Paste Import'!C92,'Manual Input'!C92)</f>
        <v/>
      </c>
      <c r="D92" s="15" t="str">
        <f>IF('Start Here'!$B$8="Paste Import",'Paste Import'!D92,'Manual Input'!D92)</f>
        <v/>
      </c>
      <c r="E92" s="15" t="str">
        <f>IF('Start Here'!$B$8="Paste Import",'Paste Import'!E92,'Manual Input'!E92)</f>
        <v/>
      </c>
      <c r="F92" s="15" t="str">
        <f>IF('Start Here'!$B$8="Paste Import",'Paste Import'!F92,'Manual Input'!F92)</f>
        <v/>
      </c>
      <c r="G92" s="15" t="str">
        <f>IF('Start Here'!$B$8="Paste Import",'Paste Import'!G92,'Manual Input'!G92)</f>
        <v/>
      </c>
      <c r="H92" s="15" t="str">
        <f>IF(B92="","",D92-E92)</f>
        <v/>
      </c>
      <c r="I92" s="15" t="str">
        <f>IF(B92="","",F92-G92)</f>
        <v/>
      </c>
      <c r="J92" s="15" t="str">
        <f>IF(B92="","",H92-I92)</f>
        <v/>
      </c>
      <c r="K92" s="16" t="str">
        <f>IF(B92="","",IF(I92=0,IF(H92=0,"","New"),J92/ABS(I92)))</f>
        <v/>
      </c>
      <c r="L92" s="14" t="str">
        <f>IF('Start Here'!$B$8="Paste Import",'Paste Import'!H92,'Manual Input'!H92)</f>
        <v/>
      </c>
      <c r="M92" s="15" t="str">
        <f>IF('Start Here'!$B$8="Paste Import",'Paste Import'!I92,'Manual Input'!I92)</f>
        <v/>
      </c>
      <c r="N92" s="15" t="str">
        <f>IF(B92="","",H92+M92)</f>
        <v/>
      </c>
      <c r="O92" s="14" t="str">
        <f>IF(B92="","",IF(OR(C92="",L92=""),"Unmapped","OK"))</f>
        <v/>
      </c>
      <c r="P92" s="14" t="str">
        <f>IF(B92="","",IF(OR(AND(OR(C92="Asset",C92="Expense"),H92&lt;0),AND(OR(C92="Liability",C92="Equity",C92="Revenue"),H92&gt;0)),"Unusual","OK"))</f>
        <v/>
      </c>
      <c r="Q92" s="14" t="str">
        <f>IF(B92="","",IF(AND(ABS(J92)&gt;='Start Here'!$B$10,IFERROR(ABS(K92)&gt;='Start Here'!$B$11,TRUE)),"Review","OK"))</f>
        <v/>
      </c>
      <c r="R92" s="14" t="str">
        <f>IF(B92="","",IF(OR(O92&lt;&gt;"OK",P92&lt;&gt;"OK",Q92&lt;&gt;"OK"),"Review","Complete"))</f>
        <v/>
      </c>
      <c r="S92" s="14" t="str">
        <f>IF('Start Here'!$B$8="Paste Import",'Paste Import'!J92,'Manual Input'!J92)</f>
        <v/>
      </c>
    </row>
    <row r="93" spans="1:19" x14ac:dyDescent="0.25">
      <c r="A93" s="14" t="str">
        <f>IF('Start Here'!$B$8="Paste Import",'Paste Import'!A93,'Manual Input'!A93)</f>
        <v/>
      </c>
      <c r="B93" s="14" t="str">
        <f>IF('Start Here'!$B$8="Paste Import",'Paste Import'!B93,'Manual Input'!B93)</f>
        <v/>
      </c>
      <c r="C93" s="14" t="str">
        <f>IF('Start Here'!$B$8="Paste Import",'Paste Import'!C93,'Manual Input'!C93)</f>
        <v/>
      </c>
      <c r="D93" s="15" t="str">
        <f>IF('Start Here'!$B$8="Paste Import",'Paste Import'!D93,'Manual Input'!D93)</f>
        <v/>
      </c>
      <c r="E93" s="15" t="str">
        <f>IF('Start Here'!$B$8="Paste Import",'Paste Import'!E93,'Manual Input'!E93)</f>
        <v/>
      </c>
      <c r="F93" s="15" t="str">
        <f>IF('Start Here'!$B$8="Paste Import",'Paste Import'!F93,'Manual Input'!F93)</f>
        <v/>
      </c>
      <c r="G93" s="15" t="str">
        <f>IF('Start Here'!$B$8="Paste Import",'Paste Import'!G93,'Manual Input'!G93)</f>
        <v/>
      </c>
      <c r="H93" s="15" t="str">
        <f>IF(B93="","",D93-E93)</f>
        <v/>
      </c>
      <c r="I93" s="15" t="str">
        <f>IF(B93="","",F93-G93)</f>
        <v/>
      </c>
      <c r="J93" s="15" t="str">
        <f>IF(B93="","",H93-I93)</f>
        <v/>
      </c>
      <c r="K93" s="16" t="str">
        <f>IF(B93="","",IF(I93=0,IF(H93=0,"","New"),J93/ABS(I93)))</f>
        <v/>
      </c>
      <c r="L93" s="14" t="str">
        <f>IF('Start Here'!$B$8="Paste Import",'Paste Import'!H93,'Manual Input'!H93)</f>
        <v/>
      </c>
      <c r="M93" s="15" t="str">
        <f>IF('Start Here'!$B$8="Paste Import",'Paste Import'!I93,'Manual Input'!I93)</f>
        <v/>
      </c>
      <c r="N93" s="15" t="str">
        <f>IF(B93="","",H93+M93)</f>
        <v/>
      </c>
      <c r="O93" s="14" t="str">
        <f>IF(B93="","",IF(OR(C93="",L93=""),"Unmapped","OK"))</f>
        <v/>
      </c>
      <c r="P93" s="14" t="str">
        <f>IF(B93="","",IF(OR(AND(OR(C93="Asset",C93="Expense"),H93&lt;0),AND(OR(C93="Liability",C93="Equity",C93="Revenue"),H93&gt;0)),"Unusual","OK"))</f>
        <v/>
      </c>
      <c r="Q93" s="14" t="str">
        <f>IF(B93="","",IF(AND(ABS(J93)&gt;='Start Here'!$B$10,IFERROR(ABS(K93)&gt;='Start Here'!$B$11,TRUE)),"Review","OK"))</f>
        <v/>
      </c>
      <c r="R93" s="14" t="str">
        <f>IF(B93="","",IF(OR(O93&lt;&gt;"OK",P93&lt;&gt;"OK",Q93&lt;&gt;"OK"),"Review","Complete"))</f>
        <v/>
      </c>
      <c r="S93" s="14" t="str">
        <f>IF('Start Here'!$B$8="Paste Import",'Paste Import'!J93,'Manual Input'!J93)</f>
        <v/>
      </c>
    </row>
    <row r="94" spans="1:19" x14ac:dyDescent="0.25">
      <c r="A94" s="14" t="str">
        <f>IF('Start Here'!$B$8="Paste Import",'Paste Import'!A94,'Manual Input'!A94)</f>
        <v/>
      </c>
      <c r="B94" s="14" t="str">
        <f>IF('Start Here'!$B$8="Paste Import",'Paste Import'!B94,'Manual Input'!B94)</f>
        <v/>
      </c>
      <c r="C94" s="14" t="str">
        <f>IF('Start Here'!$B$8="Paste Import",'Paste Import'!C94,'Manual Input'!C94)</f>
        <v/>
      </c>
      <c r="D94" s="15" t="str">
        <f>IF('Start Here'!$B$8="Paste Import",'Paste Import'!D94,'Manual Input'!D94)</f>
        <v/>
      </c>
      <c r="E94" s="15" t="str">
        <f>IF('Start Here'!$B$8="Paste Import",'Paste Import'!E94,'Manual Input'!E94)</f>
        <v/>
      </c>
      <c r="F94" s="15" t="str">
        <f>IF('Start Here'!$B$8="Paste Import",'Paste Import'!F94,'Manual Input'!F94)</f>
        <v/>
      </c>
      <c r="G94" s="15" t="str">
        <f>IF('Start Here'!$B$8="Paste Import",'Paste Import'!G94,'Manual Input'!G94)</f>
        <v/>
      </c>
      <c r="H94" s="15" t="str">
        <f>IF(B94="","",D94-E94)</f>
        <v/>
      </c>
      <c r="I94" s="15" t="str">
        <f>IF(B94="","",F94-G94)</f>
        <v/>
      </c>
      <c r="J94" s="15" t="str">
        <f>IF(B94="","",H94-I94)</f>
        <v/>
      </c>
      <c r="K94" s="16" t="str">
        <f>IF(B94="","",IF(I94=0,IF(H94=0,"","New"),J94/ABS(I94)))</f>
        <v/>
      </c>
      <c r="L94" s="14" t="str">
        <f>IF('Start Here'!$B$8="Paste Import",'Paste Import'!H94,'Manual Input'!H94)</f>
        <v/>
      </c>
      <c r="M94" s="15" t="str">
        <f>IF('Start Here'!$B$8="Paste Import",'Paste Import'!I94,'Manual Input'!I94)</f>
        <v/>
      </c>
      <c r="N94" s="15" t="str">
        <f>IF(B94="","",H94+M94)</f>
        <v/>
      </c>
      <c r="O94" s="14" t="str">
        <f>IF(B94="","",IF(OR(C94="",L94=""),"Unmapped","OK"))</f>
        <v/>
      </c>
      <c r="P94" s="14" t="str">
        <f>IF(B94="","",IF(OR(AND(OR(C94="Asset",C94="Expense"),H94&lt;0),AND(OR(C94="Liability",C94="Equity",C94="Revenue"),H94&gt;0)),"Unusual","OK"))</f>
        <v/>
      </c>
      <c r="Q94" s="14" t="str">
        <f>IF(B94="","",IF(AND(ABS(J94)&gt;='Start Here'!$B$10,IFERROR(ABS(K94)&gt;='Start Here'!$B$11,TRUE)),"Review","OK"))</f>
        <v/>
      </c>
      <c r="R94" s="14" t="str">
        <f>IF(B94="","",IF(OR(O94&lt;&gt;"OK",P94&lt;&gt;"OK",Q94&lt;&gt;"OK"),"Review","Complete"))</f>
        <v/>
      </c>
      <c r="S94" s="14" t="str">
        <f>IF('Start Here'!$B$8="Paste Import",'Paste Import'!J94,'Manual Input'!J94)</f>
        <v/>
      </c>
    </row>
    <row r="95" spans="1:19" x14ac:dyDescent="0.25">
      <c r="A95" s="14" t="str">
        <f>IF('Start Here'!$B$8="Paste Import",'Paste Import'!A95,'Manual Input'!A95)</f>
        <v/>
      </c>
      <c r="B95" s="14" t="str">
        <f>IF('Start Here'!$B$8="Paste Import",'Paste Import'!B95,'Manual Input'!B95)</f>
        <v/>
      </c>
      <c r="C95" s="14" t="str">
        <f>IF('Start Here'!$B$8="Paste Import",'Paste Import'!C95,'Manual Input'!C95)</f>
        <v/>
      </c>
      <c r="D95" s="15" t="str">
        <f>IF('Start Here'!$B$8="Paste Import",'Paste Import'!D95,'Manual Input'!D95)</f>
        <v/>
      </c>
      <c r="E95" s="15" t="str">
        <f>IF('Start Here'!$B$8="Paste Import",'Paste Import'!E95,'Manual Input'!E95)</f>
        <v/>
      </c>
      <c r="F95" s="15" t="str">
        <f>IF('Start Here'!$B$8="Paste Import",'Paste Import'!F95,'Manual Input'!F95)</f>
        <v/>
      </c>
      <c r="G95" s="15" t="str">
        <f>IF('Start Here'!$B$8="Paste Import",'Paste Import'!G95,'Manual Input'!G95)</f>
        <v/>
      </c>
      <c r="H95" s="15" t="str">
        <f>IF(B95="","",D95-E95)</f>
        <v/>
      </c>
      <c r="I95" s="15" t="str">
        <f>IF(B95="","",F95-G95)</f>
        <v/>
      </c>
      <c r="J95" s="15" t="str">
        <f>IF(B95="","",H95-I95)</f>
        <v/>
      </c>
      <c r="K95" s="16" t="str">
        <f>IF(B95="","",IF(I95=0,IF(H95=0,"","New"),J95/ABS(I95)))</f>
        <v/>
      </c>
      <c r="L95" s="14" t="str">
        <f>IF('Start Here'!$B$8="Paste Import",'Paste Import'!H95,'Manual Input'!H95)</f>
        <v/>
      </c>
      <c r="M95" s="15" t="str">
        <f>IF('Start Here'!$B$8="Paste Import",'Paste Import'!I95,'Manual Input'!I95)</f>
        <v/>
      </c>
      <c r="N95" s="15" t="str">
        <f>IF(B95="","",H95+M95)</f>
        <v/>
      </c>
      <c r="O95" s="14" t="str">
        <f>IF(B95="","",IF(OR(C95="",L95=""),"Unmapped","OK"))</f>
        <v/>
      </c>
      <c r="P95" s="14" t="str">
        <f>IF(B95="","",IF(OR(AND(OR(C95="Asset",C95="Expense"),H95&lt;0),AND(OR(C95="Liability",C95="Equity",C95="Revenue"),H95&gt;0)),"Unusual","OK"))</f>
        <v/>
      </c>
      <c r="Q95" s="14" t="str">
        <f>IF(B95="","",IF(AND(ABS(J95)&gt;='Start Here'!$B$10,IFERROR(ABS(K95)&gt;='Start Here'!$B$11,TRUE)),"Review","OK"))</f>
        <v/>
      </c>
      <c r="R95" s="14" t="str">
        <f>IF(B95="","",IF(OR(O95&lt;&gt;"OK",P95&lt;&gt;"OK",Q95&lt;&gt;"OK"),"Review","Complete"))</f>
        <v/>
      </c>
      <c r="S95" s="14" t="str">
        <f>IF('Start Here'!$B$8="Paste Import",'Paste Import'!J95,'Manual Input'!J95)</f>
        <v/>
      </c>
    </row>
    <row r="96" spans="1:19" x14ac:dyDescent="0.25">
      <c r="A96" s="14" t="str">
        <f>IF('Start Here'!$B$8="Paste Import",'Paste Import'!A96,'Manual Input'!A96)</f>
        <v/>
      </c>
      <c r="B96" s="14" t="str">
        <f>IF('Start Here'!$B$8="Paste Import",'Paste Import'!B96,'Manual Input'!B96)</f>
        <v/>
      </c>
      <c r="C96" s="14" t="str">
        <f>IF('Start Here'!$B$8="Paste Import",'Paste Import'!C96,'Manual Input'!C96)</f>
        <v/>
      </c>
      <c r="D96" s="15" t="str">
        <f>IF('Start Here'!$B$8="Paste Import",'Paste Import'!D96,'Manual Input'!D96)</f>
        <v/>
      </c>
      <c r="E96" s="15" t="str">
        <f>IF('Start Here'!$B$8="Paste Import",'Paste Import'!E96,'Manual Input'!E96)</f>
        <v/>
      </c>
      <c r="F96" s="15" t="str">
        <f>IF('Start Here'!$B$8="Paste Import",'Paste Import'!F96,'Manual Input'!F96)</f>
        <v/>
      </c>
      <c r="G96" s="15" t="str">
        <f>IF('Start Here'!$B$8="Paste Import",'Paste Import'!G96,'Manual Input'!G96)</f>
        <v/>
      </c>
      <c r="H96" s="15" t="str">
        <f>IF(B96="","",D96-E96)</f>
        <v/>
      </c>
      <c r="I96" s="15" t="str">
        <f>IF(B96="","",F96-G96)</f>
        <v/>
      </c>
      <c r="J96" s="15" t="str">
        <f>IF(B96="","",H96-I96)</f>
        <v/>
      </c>
      <c r="K96" s="16" t="str">
        <f>IF(B96="","",IF(I96=0,IF(H96=0,"","New"),J96/ABS(I96)))</f>
        <v/>
      </c>
      <c r="L96" s="14" t="str">
        <f>IF('Start Here'!$B$8="Paste Import",'Paste Import'!H96,'Manual Input'!H96)</f>
        <v/>
      </c>
      <c r="M96" s="15" t="str">
        <f>IF('Start Here'!$B$8="Paste Import",'Paste Import'!I96,'Manual Input'!I96)</f>
        <v/>
      </c>
      <c r="N96" s="15" t="str">
        <f>IF(B96="","",H96+M96)</f>
        <v/>
      </c>
      <c r="O96" s="14" t="str">
        <f>IF(B96="","",IF(OR(C96="",L96=""),"Unmapped","OK"))</f>
        <v/>
      </c>
      <c r="P96" s="14" t="str">
        <f>IF(B96="","",IF(OR(AND(OR(C96="Asset",C96="Expense"),H96&lt;0),AND(OR(C96="Liability",C96="Equity",C96="Revenue"),H96&gt;0)),"Unusual","OK"))</f>
        <v/>
      </c>
      <c r="Q96" s="14" t="str">
        <f>IF(B96="","",IF(AND(ABS(J96)&gt;='Start Here'!$B$10,IFERROR(ABS(K96)&gt;='Start Here'!$B$11,TRUE)),"Review","OK"))</f>
        <v/>
      </c>
      <c r="R96" s="14" t="str">
        <f>IF(B96="","",IF(OR(O96&lt;&gt;"OK",P96&lt;&gt;"OK",Q96&lt;&gt;"OK"),"Review","Complete"))</f>
        <v/>
      </c>
      <c r="S96" s="14" t="str">
        <f>IF('Start Here'!$B$8="Paste Import",'Paste Import'!J96,'Manual Input'!J96)</f>
        <v/>
      </c>
    </row>
    <row r="97" spans="1:19" x14ac:dyDescent="0.25">
      <c r="A97" s="14" t="str">
        <f>IF('Start Here'!$B$8="Paste Import",'Paste Import'!A97,'Manual Input'!A97)</f>
        <v/>
      </c>
      <c r="B97" s="14" t="str">
        <f>IF('Start Here'!$B$8="Paste Import",'Paste Import'!B97,'Manual Input'!B97)</f>
        <v/>
      </c>
      <c r="C97" s="14" t="str">
        <f>IF('Start Here'!$B$8="Paste Import",'Paste Import'!C97,'Manual Input'!C97)</f>
        <v/>
      </c>
      <c r="D97" s="15" t="str">
        <f>IF('Start Here'!$B$8="Paste Import",'Paste Import'!D97,'Manual Input'!D97)</f>
        <v/>
      </c>
      <c r="E97" s="15" t="str">
        <f>IF('Start Here'!$B$8="Paste Import",'Paste Import'!E97,'Manual Input'!E97)</f>
        <v/>
      </c>
      <c r="F97" s="15" t="str">
        <f>IF('Start Here'!$B$8="Paste Import",'Paste Import'!F97,'Manual Input'!F97)</f>
        <v/>
      </c>
      <c r="G97" s="15" t="str">
        <f>IF('Start Here'!$B$8="Paste Import",'Paste Import'!G97,'Manual Input'!G97)</f>
        <v/>
      </c>
      <c r="H97" s="15" t="str">
        <f>IF(B97="","",D97-E97)</f>
        <v/>
      </c>
      <c r="I97" s="15" t="str">
        <f>IF(B97="","",F97-G97)</f>
        <v/>
      </c>
      <c r="J97" s="15" t="str">
        <f>IF(B97="","",H97-I97)</f>
        <v/>
      </c>
      <c r="K97" s="16" t="str">
        <f>IF(B97="","",IF(I97=0,IF(H97=0,"","New"),J97/ABS(I97)))</f>
        <v/>
      </c>
      <c r="L97" s="14" t="str">
        <f>IF('Start Here'!$B$8="Paste Import",'Paste Import'!H97,'Manual Input'!H97)</f>
        <v/>
      </c>
      <c r="M97" s="15" t="str">
        <f>IF('Start Here'!$B$8="Paste Import",'Paste Import'!I97,'Manual Input'!I97)</f>
        <v/>
      </c>
      <c r="N97" s="15" t="str">
        <f>IF(B97="","",H97+M97)</f>
        <v/>
      </c>
      <c r="O97" s="14" t="str">
        <f>IF(B97="","",IF(OR(C97="",L97=""),"Unmapped","OK"))</f>
        <v/>
      </c>
      <c r="P97" s="14" t="str">
        <f>IF(B97="","",IF(OR(AND(OR(C97="Asset",C97="Expense"),H97&lt;0),AND(OR(C97="Liability",C97="Equity",C97="Revenue"),H97&gt;0)),"Unusual","OK"))</f>
        <v/>
      </c>
      <c r="Q97" s="14" t="str">
        <f>IF(B97="","",IF(AND(ABS(J97)&gt;='Start Here'!$B$10,IFERROR(ABS(K97)&gt;='Start Here'!$B$11,TRUE)),"Review","OK"))</f>
        <v/>
      </c>
      <c r="R97" s="14" t="str">
        <f>IF(B97="","",IF(OR(O97&lt;&gt;"OK",P97&lt;&gt;"OK",Q97&lt;&gt;"OK"),"Review","Complete"))</f>
        <v/>
      </c>
      <c r="S97" s="14" t="str">
        <f>IF('Start Here'!$B$8="Paste Import",'Paste Import'!J97,'Manual Input'!J97)</f>
        <v/>
      </c>
    </row>
    <row r="98" spans="1:19" x14ac:dyDescent="0.25">
      <c r="A98" s="14" t="str">
        <f>IF('Start Here'!$B$8="Paste Import",'Paste Import'!A98,'Manual Input'!A98)</f>
        <v/>
      </c>
      <c r="B98" s="14" t="str">
        <f>IF('Start Here'!$B$8="Paste Import",'Paste Import'!B98,'Manual Input'!B98)</f>
        <v/>
      </c>
      <c r="C98" s="14" t="str">
        <f>IF('Start Here'!$B$8="Paste Import",'Paste Import'!C98,'Manual Input'!C98)</f>
        <v/>
      </c>
      <c r="D98" s="15" t="str">
        <f>IF('Start Here'!$B$8="Paste Import",'Paste Import'!D98,'Manual Input'!D98)</f>
        <v/>
      </c>
      <c r="E98" s="15" t="str">
        <f>IF('Start Here'!$B$8="Paste Import",'Paste Import'!E98,'Manual Input'!E98)</f>
        <v/>
      </c>
      <c r="F98" s="15" t="str">
        <f>IF('Start Here'!$B$8="Paste Import",'Paste Import'!F98,'Manual Input'!F98)</f>
        <v/>
      </c>
      <c r="G98" s="15" t="str">
        <f>IF('Start Here'!$B$8="Paste Import",'Paste Import'!G98,'Manual Input'!G98)</f>
        <v/>
      </c>
      <c r="H98" s="15" t="str">
        <f>IF(B98="","",D98-E98)</f>
        <v/>
      </c>
      <c r="I98" s="15" t="str">
        <f>IF(B98="","",F98-G98)</f>
        <v/>
      </c>
      <c r="J98" s="15" t="str">
        <f>IF(B98="","",H98-I98)</f>
        <v/>
      </c>
      <c r="K98" s="16" t="str">
        <f>IF(B98="","",IF(I98=0,IF(H98=0,"","New"),J98/ABS(I98)))</f>
        <v/>
      </c>
      <c r="L98" s="14" t="str">
        <f>IF('Start Here'!$B$8="Paste Import",'Paste Import'!H98,'Manual Input'!H98)</f>
        <v/>
      </c>
      <c r="M98" s="15" t="str">
        <f>IF('Start Here'!$B$8="Paste Import",'Paste Import'!I98,'Manual Input'!I98)</f>
        <v/>
      </c>
      <c r="N98" s="15" t="str">
        <f>IF(B98="","",H98+M98)</f>
        <v/>
      </c>
      <c r="O98" s="14" t="str">
        <f>IF(B98="","",IF(OR(C98="",L98=""),"Unmapped","OK"))</f>
        <v/>
      </c>
      <c r="P98" s="14" t="str">
        <f>IF(B98="","",IF(OR(AND(OR(C98="Asset",C98="Expense"),H98&lt;0),AND(OR(C98="Liability",C98="Equity",C98="Revenue"),H98&gt;0)),"Unusual","OK"))</f>
        <v/>
      </c>
      <c r="Q98" s="14" t="str">
        <f>IF(B98="","",IF(AND(ABS(J98)&gt;='Start Here'!$B$10,IFERROR(ABS(K98)&gt;='Start Here'!$B$11,TRUE)),"Review","OK"))</f>
        <v/>
      </c>
      <c r="R98" s="14" t="str">
        <f>IF(B98="","",IF(OR(O98&lt;&gt;"OK",P98&lt;&gt;"OK",Q98&lt;&gt;"OK"),"Review","Complete"))</f>
        <v/>
      </c>
      <c r="S98" s="14" t="str">
        <f>IF('Start Here'!$B$8="Paste Import",'Paste Import'!J98,'Manual Input'!J98)</f>
        <v/>
      </c>
    </row>
    <row r="99" spans="1:19" x14ac:dyDescent="0.25">
      <c r="A99" s="14" t="str">
        <f>IF('Start Here'!$B$8="Paste Import",'Paste Import'!A99,'Manual Input'!A99)</f>
        <v/>
      </c>
      <c r="B99" s="14" t="str">
        <f>IF('Start Here'!$B$8="Paste Import",'Paste Import'!B99,'Manual Input'!B99)</f>
        <v/>
      </c>
      <c r="C99" s="14" t="str">
        <f>IF('Start Here'!$B$8="Paste Import",'Paste Import'!C99,'Manual Input'!C99)</f>
        <v/>
      </c>
      <c r="D99" s="15" t="str">
        <f>IF('Start Here'!$B$8="Paste Import",'Paste Import'!D99,'Manual Input'!D99)</f>
        <v/>
      </c>
      <c r="E99" s="15" t="str">
        <f>IF('Start Here'!$B$8="Paste Import",'Paste Import'!E99,'Manual Input'!E99)</f>
        <v/>
      </c>
      <c r="F99" s="15" t="str">
        <f>IF('Start Here'!$B$8="Paste Import",'Paste Import'!F99,'Manual Input'!F99)</f>
        <v/>
      </c>
      <c r="G99" s="15" t="str">
        <f>IF('Start Here'!$B$8="Paste Import",'Paste Import'!G99,'Manual Input'!G99)</f>
        <v/>
      </c>
      <c r="H99" s="15" t="str">
        <f>IF(B99="","",D99-E99)</f>
        <v/>
      </c>
      <c r="I99" s="15" t="str">
        <f>IF(B99="","",F99-G99)</f>
        <v/>
      </c>
      <c r="J99" s="15" t="str">
        <f>IF(B99="","",H99-I99)</f>
        <v/>
      </c>
      <c r="K99" s="16" t="str">
        <f>IF(B99="","",IF(I99=0,IF(H99=0,"","New"),J99/ABS(I99)))</f>
        <v/>
      </c>
      <c r="L99" s="14" t="str">
        <f>IF('Start Here'!$B$8="Paste Import",'Paste Import'!H99,'Manual Input'!H99)</f>
        <v/>
      </c>
      <c r="M99" s="15" t="str">
        <f>IF('Start Here'!$B$8="Paste Import",'Paste Import'!I99,'Manual Input'!I99)</f>
        <v/>
      </c>
      <c r="N99" s="15" t="str">
        <f>IF(B99="","",H99+M99)</f>
        <v/>
      </c>
      <c r="O99" s="14" t="str">
        <f>IF(B99="","",IF(OR(C99="",L99=""),"Unmapped","OK"))</f>
        <v/>
      </c>
      <c r="P99" s="14" t="str">
        <f>IF(B99="","",IF(OR(AND(OR(C99="Asset",C99="Expense"),H99&lt;0),AND(OR(C99="Liability",C99="Equity",C99="Revenue"),H99&gt;0)),"Unusual","OK"))</f>
        <v/>
      </c>
      <c r="Q99" s="14" t="str">
        <f>IF(B99="","",IF(AND(ABS(J99)&gt;='Start Here'!$B$10,IFERROR(ABS(K99)&gt;='Start Here'!$B$11,TRUE)),"Review","OK"))</f>
        <v/>
      </c>
      <c r="R99" s="14" t="str">
        <f>IF(B99="","",IF(OR(O99&lt;&gt;"OK",P99&lt;&gt;"OK",Q99&lt;&gt;"OK"),"Review","Complete"))</f>
        <v/>
      </c>
      <c r="S99" s="14" t="str">
        <f>IF('Start Here'!$B$8="Paste Import",'Paste Import'!J99,'Manual Input'!J99)</f>
        <v/>
      </c>
    </row>
    <row r="100" spans="1:19" x14ac:dyDescent="0.25">
      <c r="A100" s="14" t="str">
        <f>IF('Start Here'!$B$8="Paste Import",'Paste Import'!A100,'Manual Input'!A100)</f>
        <v/>
      </c>
      <c r="B100" s="14" t="str">
        <f>IF('Start Here'!$B$8="Paste Import",'Paste Import'!B100,'Manual Input'!B100)</f>
        <v/>
      </c>
      <c r="C100" s="14" t="str">
        <f>IF('Start Here'!$B$8="Paste Import",'Paste Import'!C100,'Manual Input'!C100)</f>
        <v/>
      </c>
      <c r="D100" s="15" t="str">
        <f>IF('Start Here'!$B$8="Paste Import",'Paste Import'!D100,'Manual Input'!D100)</f>
        <v/>
      </c>
      <c r="E100" s="15" t="str">
        <f>IF('Start Here'!$B$8="Paste Import",'Paste Import'!E100,'Manual Input'!E100)</f>
        <v/>
      </c>
      <c r="F100" s="15" t="str">
        <f>IF('Start Here'!$B$8="Paste Import",'Paste Import'!F100,'Manual Input'!F100)</f>
        <v/>
      </c>
      <c r="G100" s="15" t="str">
        <f>IF('Start Here'!$B$8="Paste Import",'Paste Import'!G100,'Manual Input'!G100)</f>
        <v/>
      </c>
      <c r="H100" s="15" t="str">
        <f>IF(B100="","",D100-E100)</f>
        <v/>
      </c>
      <c r="I100" s="15" t="str">
        <f>IF(B100="","",F100-G100)</f>
        <v/>
      </c>
      <c r="J100" s="15" t="str">
        <f>IF(B100="","",H100-I100)</f>
        <v/>
      </c>
      <c r="K100" s="16" t="str">
        <f>IF(B100="","",IF(I100=0,IF(H100=0,"","New"),J100/ABS(I100)))</f>
        <v/>
      </c>
      <c r="L100" s="14" t="str">
        <f>IF('Start Here'!$B$8="Paste Import",'Paste Import'!H100,'Manual Input'!H100)</f>
        <v/>
      </c>
      <c r="M100" s="15" t="str">
        <f>IF('Start Here'!$B$8="Paste Import",'Paste Import'!I100,'Manual Input'!I100)</f>
        <v/>
      </c>
      <c r="N100" s="15" t="str">
        <f>IF(B100="","",H100+M100)</f>
        <v/>
      </c>
      <c r="O100" s="14" t="str">
        <f>IF(B100="","",IF(OR(C100="",L100=""),"Unmapped","OK"))</f>
        <v/>
      </c>
      <c r="P100" s="14" t="str">
        <f>IF(B100="","",IF(OR(AND(OR(C100="Asset",C100="Expense"),H100&lt;0),AND(OR(C100="Liability",C100="Equity",C100="Revenue"),H100&gt;0)),"Unusual","OK"))</f>
        <v/>
      </c>
      <c r="Q100" s="14" t="str">
        <f>IF(B100="","",IF(AND(ABS(J100)&gt;='Start Here'!$B$10,IFERROR(ABS(K100)&gt;='Start Here'!$B$11,TRUE)),"Review","OK"))</f>
        <v/>
      </c>
      <c r="R100" s="14" t="str">
        <f>IF(B100="","",IF(OR(O100&lt;&gt;"OK",P100&lt;&gt;"OK",Q100&lt;&gt;"OK"),"Review","Complete"))</f>
        <v/>
      </c>
      <c r="S100" s="14" t="str">
        <f>IF('Start Here'!$B$8="Paste Import",'Paste Import'!J100,'Manual Input'!J100)</f>
        <v/>
      </c>
    </row>
    <row r="101" spans="1:19" x14ac:dyDescent="0.25">
      <c r="A101" s="14" t="str">
        <f>IF('Start Here'!$B$8="Paste Import",'Paste Import'!A101,'Manual Input'!A101)</f>
        <v/>
      </c>
      <c r="B101" s="14" t="str">
        <f>IF('Start Here'!$B$8="Paste Import",'Paste Import'!B101,'Manual Input'!B101)</f>
        <v/>
      </c>
      <c r="C101" s="14" t="str">
        <f>IF('Start Here'!$B$8="Paste Import",'Paste Import'!C101,'Manual Input'!C101)</f>
        <v/>
      </c>
      <c r="D101" s="15" t="str">
        <f>IF('Start Here'!$B$8="Paste Import",'Paste Import'!D101,'Manual Input'!D101)</f>
        <v/>
      </c>
      <c r="E101" s="15" t="str">
        <f>IF('Start Here'!$B$8="Paste Import",'Paste Import'!E101,'Manual Input'!E101)</f>
        <v/>
      </c>
      <c r="F101" s="15" t="str">
        <f>IF('Start Here'!$B$8="Paste Import",'Paste Import'!F101,'Manual Input'!F101)</f>
        <v/>
      </c>
      <c r="G101" s="15" t="str">
        <f>IF('Start Here'!$B$8="Paste Import",'Paste Import'!G101,'Manual Input'!G101)</f>
        <v/>
      </c>
      <c r="H101" s="15" t="str">
        <f>IF(B101="","",D101-E101)</f>
        <v/>
      </c>
      <c r="I101" s="15" t="str">
        <f>IF(B101="","",F101-G101)</f>
        <v/>
      </c>
      <c r="J101" s="15" t="str">
        <f>IF(B101="","",H101-I101)</f>
        <v/>
      </c>
      <c r="K101" s="16" t="str">
        <f>IF(B101="","",IF(I101=0,IF(H101=0,"","New"),J101/ABS(I101)))</f>
        <v/>
      </c>
      <c r="L101" s="14" t="str">
        <f>IF('Start Here'!$B$8="Paste Import",'Paste Import'!H101,'Manual Input'!H101)</f>
        <v/>
      </c>
      <c r="M101" s="15" t="str">
        <f>IF('Start Here'!$B$8="Paste Import",'Paste Import'!I101,'Manual Input'!I101)</f>
        <v/>
      </c>
      <c r="N101" s="15" t="str">
        <f>IF(B101="","",H101+M101)</f>
        <v/>
      </c>
      <c r="O101" s="14" t="str">
        <f>IF(B101="","",IF(OR(C101="",L101=""),"Unmapped","OK"))</f>
        <v/>
      </c>
      <c r="P101" s="14" t="str">
        <f>IF(B101="","",IF(OR(AND(OR(C101="Asset",C101="Expense"),H101&lt;0),AND(OR(C101="Liability",C101="Equity",C101="Revenue"),H101&gt;0)),"Unusual","OK"))</f>
        <v/>
      </c>
      <c r="Q101" s="14" t="str">
        <f>IF(B101="","",IF(AND(ABS(J101)&gt;='Start Here'!$B$10,IFERROR(ABS(K101)&gt;='Start Here'!$B$11,TRUE)),"Review","OK"))</f>
        <v/>
      </c>
      <c r="R101" s="14" t="str">
        <f>IF(B101="","",IF(OR(O101&lt;&gt;"OK",P101&lt;&gt;"OK",Q101&lt;&gt;"OK"),"Review","Complete"))</f>
        <v/>
      </c>
      <c r="S101" s="14" t="str">
        <f>IF('Start Here'!$B$8="Paste Import",'Paste Import'!J101,'Manual Input'!J101)</f>
        <v/>
      </c>
    </row>
    <row r="102" spans="1:19" x14ac:dyDescent="0.25">
      <c r="A102" s="14" t="str">
        <f>IF('Start Here'!$B$8="Paste Import",'Paste Import'!A102,'Manual Input'!A102)</f>
        <v/>
      </c>
      <c r="B102" s="14" t="str">
        <f>IF('Start Here'!$B$8="Paste Import",'Paste Import'!B102,'Manual Input'!B102)</f>
        <v/>
      </c>
      <c r="C102" s="14" t="str">
        <f>IF('Start Here'!$B$8="Paste Import",'Paste Import'!C102,'Manual Input'!C102)</f>
        <v/>
      </c>
      <c r="D102" s="15" t="str">
        <f>IF('Start Here'!$B$8="Paste Import",'Paste Import'!D102,'Manual Input'!D102)</f>
        <v/>
      </c>
      <c r="E102" s="15" t="str">
        <f>IF('Start Here'!$B$8="Paste Import",'Paste Import'!E102,'Manual Input'!E102)</f>
        <v/>
      </c>
      <c r="F102" s="15" t="str">
        <f>IF('Start Here'!$B$8="Paste Import",'Paste Import'!F102,'Manual Input'!F102)</f>
        <v/>
      </c>
      <c r="G102" s="15" t="str">
        <f>IF('Start Here'!$B$8="Paste Import",'Paste Import'!G102,'Manual Input'!G102)</f>
        <v/>
      </c>
      <c r="H102" s="15" t="str">
        <f>IF(B102="","",D102-E102)</f>
        <v/>
      </c>
      <c r="I102" s="15" t="str">
        <f>IF(B102="","",F102-G102)</f>
        <v/>
      </c>
      <c r="J102" s="15" t="str">
        <f>IF(B102="","",H102-I102)</f>
        <v/>
      </c>
      <c r="K102" s="16" t="str">
        <f>IF(B102="","",IF(I102=0,IF(H102=0,"","New"),J102/ABS(I102)))</f>
        <v/>
      </c>
      <c r="L102" s="14" t="str">
        <f>IF('Start Here'!$B$8="Paste Import",'Paste Import'!H102,'Manual Input'!H102)</f>
        <v/>
      </c>
      <c r="M102" s="15" t="str">
        <f>IF('Start Here'!$B$8="Paste Import",'Paste Import'!I102,'Manual Input'!I102)</f>
        <v/>
      </c>
      <c r="N102" s="15" t="str">
        <f>IF(B102="","",H102+M102)</f>
        <v/>
      </c>
      <c r="O102" s="14" t="str">
        <f>IF(B102="","",IF(OR(C102="",L102=""),"Unmapped","OK"))</f>
        <v/>
      </c>
      <c r="P102" s="14" t="str">
        <f>IF(B102="","",IF(OR(AND(OR(C102="Asset",C102="Expense"),H102&lt;0),AND(OR(C102="Liability",C102="Equity",C102="Revenue"),H102&gt;0)),"Unusual","OK"))</f>
        <v/>
      </c>
      <c r="Q102" s="14" t="str">
        <f>IF(B102="","",IF(AND(ABS(J102)&gt;='Start Here'!$B$10,IFERROR(ABS(K102)&gt;='Start Here'!$B$11,TRUE)),"Review","OK"))</f>
        <v/>
      </c>
      <c r="R102" s="14" t="str">
        <f>IF(B102="","",IF(OR(O102&lt;&gt;"OK",P102&lt;&gt;"OK",Q102&lt;&gt;"OK"),"Review","Complete"))</f>
        <v/>
      </c>
      <c r="S102" s="14" t="str">
        <f>IF('Start Here'!$B$8="Paste Import",'Paste Import'!J102,'Manual Input'!J102)</f>
        <v/>
      </c>
    </row>
    <row r="103" spans="1:19" x14ac:dyDescent="0.25">
      <c r="A103" s="14" t="str">
        <f>IF('Start Here'!$B$8="Paste Import",'Paste Import'!A103,'Manual Input'!A103)</f>
        <v/>
      </c>
      <c r="B103" s="14" t="str">
        <f>IF('Start Here'!$B$8="Paste Import",'Paste Import'!B103,'Manual Input'!B103)</f>
        <v/>
      </c>
      <c r="C103" s="14" t="str">
        <f>IF('Start Here'!$B$8="Paste Import",'Paste Import'!C103,'Manual Input'!C103)</f>
        <v/>
      </c>
      <c r="D103" s="15" t="str">
        <f>IF('Start Here'!$B$8="Paste Import",'Paste Import'!D103,'Manual Input'!D103)</f>
        <v/>
      </c>
      <c r="E103" s="15" t="str">
        <f>IF('Start Here'!$B$8="Paste Import",'Paste Import'!E103,'Manual Input'!E103)</f>
        <v/>
      </c>
      <c r="F103" s="15" t="str">
        <f>IF('Start Here'!$B$8="Paste Import",'Paste Import'!F103,'Manual Input'!F103)</f>
        <v/>
      </c>
      <c r="G103" s="15" t="str">
        <f>IF('Start Here'!$B$8="Paste Import",'Paste Import'!G103,'Manual Input'!G103)</f>
        <v/>
      </c>
      <c r="H103" s="15" t="str">
        <f>IF(B103="","",D103-E103)</f>
        <v/>
      </c>
      <c r="I103" s="15" t="str">
        <f>IF(B103="","",F103-G103)</f>
        <v/>
      </c>
      <c r="J103" s="15" t="str">
        <f>IF(B103="","",H103-I103)</f>
        <v/>
      </c>
      <c r="K103" s="16" t="str">
        <f>IF(B103="","",IF(I103=0,IF(H103=0,"","New"),J103/ABS(I103)))</f>
        <v/>
      </c>
      <c r="L103" s="14" t="str">
        <f>IF('Start Here'!$B$8="Paste Import",'Paste Import'!H103,'Manual Input'!H103)</f>
        <v/>
      </c>
      <c r="M103" s="15" t="str">
        <f>IF('Start Here'!$B$8="Paste Import",'Paste Import'!I103,'Manual Input'!I103)</f>
        <v/>
      </c>
      <c r="N103" s="15" t="str">
        <f>IF(B103="","",H103+M103)</f>
        <v/>
      </c>
      <c r="O103" s="14" t="str">
        <f>IF(B103="","",IF(OR(C103="",L103=""),"Unmapped","OK"))</f>
        <v/>
      </c>
      <c r="P103" s="14" t="str">
        <f>IF(B103="","",IF(OR(AND(OR(C103="Asset",C103="Expense"),H103&lt;0),AND(OR(C103="Liability",C103="Equity",C103="Revenue"),H103&gt;0)),"Unusual","OK"))</f>
        <v/>
      </c>
      <c r="Q103" s="14" t="str">
        <f>IF(B103="","",IF(AND(ABS(J103)&gt;='Start Here'!$B$10,IFERROR(ABS(K103)&gt;='Start Here'!$B$11,TRUE)),"Review","OK"))</f>
        <v/>
      </c>
      <c r="R103" s="14" t="str">
        <f>IF(B103="","",IF(OR(O103&lt;&gt;"OK",P103&lt;&gt;"OK",Q103&lt;&gt;"OK"),"Review","Complete"))</f>
        <v/>
      </c>
      <c r="S103" s="14" t="str">
        <f>IF('Start Here'!$B$8="Paste Import",'Paste Import'!J103,'Manual Input'!J103)</f>
        <v/>
      </c>
    </row>
    <row r="104" spans="1:19" x14ac:dyDescent="0.25">
      <c r="A104" s="14" t="str">
        <f>IF('Start Here'!$B$8="Paste Import",'Paste Import'!A104,'Manual Input'!A104)</f>
        <v/>
      </c>
      <c r="B104" s="14" t="str">
        <f>IF('Start Here'!$B$8="Paste Import",'Paste Import'!B104,'Manual Input'!B104)</f>
        <v/>
      </c>
      <c r="C104" s="14" t="str">
        <f>IF('Start Here'!$B$8="Paste Import",'Paste Import'!C104,'Manual Input'!C104)</f>
        <v/>
      </c>
      <c r="D104" s="15" t="str">
        <f>IF('Start Here'!$B$8="Paste Import",'Paste Import'!D104,'Manual Input'!D104)</f>
        <v/>
      </c>
      <c r="E104" s="15" t="str">
        <f>IF('Start Here'!$B$8="Paste Import",'Paste Import'!E104,'Manual Input'!E104)</f>
        <v/>
      </c>
      <c r="F104" s="15" t="str">
        <f>IF('Start Here'!$B$8="Paste Import",'Paste Import'!F104,'Manual Input'!F104)</f>
        <v/>
      </c>
      <c r="G104" s="15" t="str">
        <f>IF('Start Here'!$B$8="Paste Import",'Paste Import'!G104,'Manual Input'!G104)</f>
        <v/>
      </c>
      <c r="H104" s="15" t="str">
        <f>IF(B104="","",D104-E104)</f>
        <v/>
      </c>
      <c r="I104" s="15" t="str">
        <f>IF(B104="","",F104-G104)</f>
        <v/>
      </c>
      <c r="J104" s="15" t="str">
        <f>IF(B104="","",H104-I104)</f>
        <v/>
      </c>
      <c r="K104" s="16" t="str">
        <f>IF(B104="","",IF(I104=0,IF(H104=0,"","New"),J104/ABS(I104)))</f>
        <v/>
      </c>
      <c r="L104" s="14" t="str">
        <f>IF('Start Here'!$B$8="Paste Import",'Paste Import'!H104,'Manual Input'!H104)</f>
        <v/>
      </c>
      <c r="M104" s="15" t="str">
        <f>IF('Start Here'!$B$8="Paste Import",'Paste Import'!I104,'Manual Input'!I104)</f>
        <v/>
      </c>
      <c r="N104" s="15" t="str">
        <f>IF(B104="","",H104+M104)</f>
        <v/>
      </c>
      <c r="O104" s="14" t="str">
        <f>IF(B104="","",IF(OR(C104="",L104=""),"Unmapped","OK"))</f>
        <v/>
      </c>
      <c r="P104" s="14" t="str">
        <f>IF(B104="","",IF(OR(AND(OR(C104="Asset",C104="Expense"),H104&lt;0),AND(OR(C104="Liability",C104="Equity",C104="Revenue"),H104&gt;0)),"Unusual","OK"))</f>
        <v/>
      </c>
      <c r="Q104" s="14" t="str">
        <f>IF(B104="","",IF(AND(ABS(J104)&gt;='Start Here'!$B$10,IFERROR(ABS(K104)&gt;='Start Here'!$B$11,TRUE)),"Review","OK"))</f>
        <v/>
      </c>
      <c r="R104" s="14" t="str">
        <f>IF(B104="","",IF(OR(O104&lt;&gt;"OK",P104&lt;&gt;"OK",Q104&lt;&gt;"OK"),"Review","Complete"))</f>
        <v/>
      </c>
      <c r="S104" s="14" t="str">
        <f>IF('Start Here'!$B$8="Paste Import",'Paste Import'!J104,'Manual Input'!J104)</f>
        <v/>
      </c>
    </row>
    <row r="105" spans="1:19" x14ac:dyDescent="0.25">
      <c r="A105" s="14" t="str">
        <f>IF('Start Here'!$B$8="Paste Import",'Paste Import'!A105,'Manual Input'!A105)</f>
        <v/>
      </c>
      <c r="B105" s="14" t="str">
        <f>IF('Start Here'!$B$8="Paste Import",'Paste Import'!B105,'Manual Input'!B105)</f>
        <v/>
      </c>
      <c r="C105" s="14" t="str">
        <f>IF('Start Here'!$B$8="Paste Import",'Paste Import'!C105,'Manual Input'!C105)</f>
        <v/>
      </c>
      <c r="D105" s="15" t="str">
        <f>IF('Start Here'!$B$8="Paste Import",'Paste Import'!D105,'Manual Input'!D105)</f>
        <v/>
      </c>
      <c r="E105" s="15" t="str">
        <f>IF('Start Here'!$B$8="Paste Import",'Paste Import'!E105,'Manual Input'!E105)</f>
        <v/>
      </c>
      <c r="F105" s="15" t="str">
        <f>IF('Start Here'!$B$8="Paste Import",'Paste Import'!F105,'Manual Input'!F105)</f>
        <v/>
      </c>
      <c r="G105" s="15" t="str">
        <f>IF('Start Here'!$B$8="Paste Import",'Paste Import'!G105,'Manual Input'!G105)</f>
        <v/>
      </c>
      <c r="H105" s="15" t="str">
        <f>IF(B105="","",D105-E105)</f>
        <v/>
      </c>
      <c r="I105" s="15" t="str">
        <f>IF(B105="","",F105-G105)</f>
        <v/>
      </c>
      <c r="J105" s="15" t="str">
        <f>IF(B105="","",H105-I105)</f>
        <v/>
      </c>
      <c r="K105" s="16" t="str">
        <f>IF(B105="","",IF(I105=0,IF(H105=0,"","New"),J105/ABS(I105)))</f>
        <v/>
      </c>
      <c r="L105" s="14" t="str">
        <f>IF('Start Here'!$B$8="Paste Import",'Paste Import'!H105,'Manual Input'!H105)</f>
        <v/>
      </c>
      <c r="M105" s="15" t="str">
        <f>IF('Start Here'!$B$8="Paste Import",'Paste Import'!I105,'Manual Input'!I105)</f>
        <v/>
      </c>
      <c r="N105" s="15" t="str">
        <f>IF(B105="","",H105+M105)</f>
        <v/>
      </c>
      <c r="O105" s="14" t="str">
        <f>IF(B105="","",IF(OR(C105="",L105=""),"Unmapped","OK"))</f>
        <v/>
      </c>
      <c r="P105" s="14" t="str">
        <f>IF(B105="","",IF(OR(AND(OR(C105="Asset",C105="Expense"),H105&lt;0),AND(OR(C105="Liability",C105="Equity",C105="Revenue"),H105&gt;0)),"Unusual","OK"))</f>
        <v/>
      </c>
      <c r="Q105" s="14" t="str">
        <f>IF(B105="","",IF(AND(ABS(J105)&gt;='Start Here'!$B$10,IFERROR(ABS(K105)&gt;='Start Here'!$B$11,TRUE)),"Review","OK"))</f>
        <v/>
      </c>
      <c r="R105" s="14" t="str">
        <f>IF(B105="","",IF(OR(O105&lt;&gt;"OK",P105&lt;&gt;"OK",Q105&lt;&gt;"OK"),"Review","Complete"))</f>
        <v/>
      </c>
      <c r="S105" s="14" t="str">
        <f>IF('Start Here'!$B$8="Paste Import",'Paste Import'!J105,'Manual Input'!J105)</f>
        <v/>
      </c>
    </row>
  </sheetData>
  <autoFilter ref="A5:S105"/>
  <mergeCells count="2">
    <mergeCell ref="A1:S2"/>
    <mergeCell ref="A4:S4"/>
  </mergeCells>
  <conditionalFormatting sqref="O6:O105">
    <cfRule type="containsText" dxfId="0" priority="1">
      <formula>NOT(ISERROR(SEARCH("Review",O6)))</formula>
    </cfRule>
    <cfRule type="containsText" dxfId="1" priority="2">
      <formula>NOT(ISERROR(SEARCH("Unmapped",O6)))</formula>
    </cfRule>
    <cfRule type="containsText" dxfId="2" priority="3">
      <formula>NOT(ISERROR(SEARCH("Unusual",O6)))</formula>
    </cfRule>
    <cfRule type="containsText" dxfId="3" priority="4">
      <formula>NOT(ISERROR(SEARCH("OK",O6)))</formula>
    </cfRule>
    <cfRule type="containsText" dxfId="4" priority="5">
      <formula>NOT(ISERROR(SEARCH("Complete",O6)))</formula>
    </cfRule>
  </conditionalFormatting>
  <conditionalFormatting sqref="P6:P105">
    <cfRule type="containsText" dxfId="5" priority="6">
      <formula>NOT(ISERROR(SEARCH("Review",P6)))</formula>
    </cfRule>
    <cfRule type="containsText" dxfId="6" priority="7">
      <formula>NOT(ISERROR(SEARCH("Unmapped",P6)))</formula>
    </cfRule>
    <cfRule type="containsText" dxfId="7" priority="8">
      <formula>NOT(ISERROR(SEARCH("Unusual",P6)))</formula>
    </cfRule>
    <cfRule type="containsText" dxfId="8" priority="9">
      <formula>NOT(ISERROR(SEARCH("OK",P6)))</formula>
    </cfRule>
    <cfRule type="containsText" dxfId="9" priority="10">
      <formula>NOT(ISERROR(SEARCH("Complete",P6)))</formula>
    </cfRule>
  </conditionalFormatting>
  <conditionalFormatting sqref="Q6:Q105">
    <cfRule type="containsText" dxfId="10" priority="11">
      <formula>NOT(ISERROR(SEARCH("Review",Q6)))</formula>
    </cfRule>
    <cfRule type="containsText" dxfId="11" priority="12">
      <formula>NOT(ISERROR(SEARCH("Unmapped",Q6)))</formula>
    </cfRule>
    <cfRule type="containsText" dxfId="12" priority="13">
      <formula>NOT(ISERROR(SEARCH("Unusual",Q6)))</formula>
    </cfRule>
    <cfRule type="containsText" dxfId="13" priority="14">
      <formula>NOT(ISERROR(SEARCH("OK",Q6)))</formula>
    </cfRule>
    <cfRule type="containsText" dxfId="14" priority="15">
      <formula>NOT(ISERROR(SEARCH("Complete",Q6)))</formula>
    </cfRule>
  </conditionalFormatting>
  <conditionalFormatting sqref="R6:R105">
    <cfRule type="containsText" dxfId="15" priority="16">
      <formula>NOT(ISERROR(SEARCH("Review",R6)))</formula>
    </cfRule>
    <cfRule type="containsText" dxfId="16" priority="17">
      <formula>NOT(ISERROR(SEARCH("Unmapped",R6)))</formula>
    </cfRule>
    <cfRule type="containsText" dxfId="17" priority="18">
      <formula>NOT(ISERROR(SEARCH("Unusual",R6)))</formula>
    </cfRule>
    <cfRule type="containsText" dxfId="18" priority="19">
      <formula>NOT(ISERROR(SEARCH("OK",R6)))</formula>
    </cfRule>
    <cfRule type="containsText" dxfId="19" priority="20">
      <formula>NOT(ISERROR(SEARCH("Complete",R6)))</formula>
    </cfRule>
  </conditionalFormatting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3" customWidth="1"/>
    <col min="3" max="3" width="20" customWidth="1"/>
    <col min="4" max="4" width="23" customWidth="1"/>
    <col min="5" max="5" width="22" customWidth="1"/>
    <col min="6" max="6" width="23" customWidth="1"/>
    <col min="7" max="7" width="16" customWidth="1"/>
    <col min="8" max="8" width="21" customWidth="1"/>
  </cols>
  <sheetData>
    <row r="1" ht="30" customHeight="1" spans="1:8" x14ac:dyDescent="0.25">
      <c r="A1" s="1" t="s">
        <v>99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9" t="s">
        <v>100</v>
      </c>
      <c r="B3" s="9"/>
      <c r="C3" s="9"/>
      <c r="D3" s="9"/>
      <c r="E3" s="9"/>
      <c r="F3" s="9"/>
      <c r="G3" s="9"/>
      <c r="H3" s="9"/>
    </row>
    <row r="4" spans="1:8" x14ac:dyDescent="0.25"/>
    <row r="5" spans="1:8" x14ac:dyDescent="0.25">
      <c r="A5" s="17" t="s">
        <v>101</v>
      </c>
      <c r="B5" s="17" t="str">
        <f>'Start Here'!B4</f>
        <v>Northstar Components LLC</v>
      </c>
      <c r="C5" s="17" t="s">
        <v>3</v>
      </c>
      <c r="D5" s="18">
        <f>'Start Here'!B5</f>
        <v>46203</v>
      </c>
      <c r="E5" s="17" t="s">
        <v>4</v>
      </c>
      <c r="F5" s="17" t="str">
        <f>'Start Here'!B6</f>
        <v>Taylor Morgan</v>
      </c>
      <c r="G5" s="17" t="s">
        <v>98</v>
      </c>
      <c r="H5" s="19" t="str">
        <f>IF(AND(ABS(D12)&lt;0.01,F15=0),"Complete","Review")</f>
        <v>Review</v>
      </c>
    </row>
    <row r="6" spans="1:8" x14ac:dyDescent="0.25"/>
    <row r="7" spans="1:8" x14ac:dyDescent="0.25"/>
    <row r="8" spans="1:8" x14ac:dyDescent="0.25">
      <c r="A8" s="20" t="s">
        <v>102</v>
      </c>
      <c r="B8" s="17"/>
      <c r="C8" s="20" t="s">
        <v>103</v>
      </c>
      <c r="D8" s="17"/>
      <c r="E8" s="20" t="s">
        <v>104</v>
      </c>
    </row>
    <row r="9" spans="1:8" x14ac:dyDescent="0.25">
      <c r="A9" s="17"/>
      <c r="B9" s="21">
        <f>SUM('Review'!$D$6:$D$105)</f>
        <v>450000</v>
      </c>
      <c r="C9" s="17"/>
      <c r="D9" s="21">
        <f>SUM('Review'!$E$6:$E$105)</f>
        <v>450000</v>
      </c>
      <c r="E9" s="17"/>
      <c r="F9" s="21">
        <f>B9-D9</f>
        <v>0</v>
      </c>
    </row>
    <row r="10" spans="1:8" x14ac:dyDescent="0.25"/>
    <row r="11" spans="1:8" x14ac:dyDescent="0.25">
      <c r="A11" s="20" t="s">
        <v>105</v>
      </c>
      <c r="B11" s="17"/>
      <c r="C11" s="20" t="s">
        <v>106</v>
      </c>
      <c r="D11" s="17"/>
      <c r="E11" s="20" t="s">
        <v>107</v>
      </c>
    </row>
    <row r="12" spans="1:8" x14ac:dyDescent="0.25">
      <c r="A12" s="17"/>
      <c r="B12" s="21">
        <f>SUM('Review'!$M$6:$M$105)</f>
        <v>0</v>
      </c>
      <c r="C12" s="17"/>
      <c r="D12" s="21">
        <f>F9+B12</f>
        <v>0</v>
      </c>
      <c r="E12" s="17"/>
      <c r="F12" s="22">
        <f>COUNTIF('Review'!$Q$6:$Q$105,"Review")</f>
        <v>9</v>
      </c>
    </row>
    <row r="13" spans="1:8" x14ac:dyDescent="0.25"/>
    <row r="14" spans="1:8" x14ac:dyDescent="0.25">
      <c r="A14" s="20" t="s">
        <v>108</v>
      </c>
      <c r="B14" s="17"/>
      <c r="C14" s="20" t="s">
        <v>109</v>
      </c>
      <c r="D14" s="17"/>
      <c r="E14" s="20" t="s">
        <v>110</v>
      </c>
    </row>
    <row r="15" spans="1:8" x14ac:dyDescent="0.25">
      <c r="A15" s="17"/>
      <c r="B15" s="22">
        <f>COUNTIF('Review'!$P$6:$P$105,"Unusual")</f>
        <v>1</v>
      </c>
      <c r="C15" s="17"/>
      <c r="D15" s="22">
        <f>COUNTIF('Review'!$O$6:$O$105,"Unmapped")</f>
        <v>1</v>
      </c>
      <c r="E15" s="17"/>
      <c r="F15" s="22">
        <f>COUNTIF('Review'!$R$6:$R$105,"Review")</f>
        <v>9</v>
      </c>
    </row>
    <row r="16" spans="1:8" x14ac:dyDescent="0.25"/>
    <row r="17" spans="1:8" x14ac:dyDescent="0.25"/>
    <row r="18" spans="1:8" x14ac:dyDescent="0.25">
      <c r="A18" s="23" t="s">
        <v>111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24" t="s">
        <v>112</v>
      </c>
      <c r="B19" s="24"/>
      <c r="C19" s="24"/>
      <c r="D19" s="24"/>
      <c r="E19" s="24"/>
      <c r="F19" s="24"/>
      <c r="G19" s="24"/>
      <c r="H19" s="24"/>
    </row>
    <row r="20" spans="1:8" x14ac:dyDescent="0.25">
      <c r="A20" s="24"/>
      <c r="B20" s="24"/>
      <c r="C20" s="24"/>
      <c r="D20" s="24"/>
      <c r="E20" s="24"/>
      <c r="F20" s="24"/>
      <c r="G20" s="24"/>
      <c r="H20" s="24"/>
    </row>
    <row r="21" spans="1:8" x14ac:dyDescent="0.25">
      <c r="A21" s="24"/>
      <c r="B21" s="24"/>
      <c r="C21" s="24"/>
      <c r="D21" s="24"/>
      <c r="E21" s="24"/>
      <c r="F21" s="24"/>
      <c r="G21" s="24"/>
      <c r="H21" s="24"/>
    </row>
    <row r="22" spans="1:8" x14ac:dyDescent="0.25">
      <c r="A22" s="24"/>
      <c r="B22" s="24"/>
      <c r="C22" s="24"/>
      <c r="D22" s="24"/>
      <c r="E22" s="24"/>
      <c r="F22" s="24"/>
      <c r="G22" s="24"/>
      <c r="H22" s="24"/>
    </row>
    <row r="23" spans="1:8" x14ac:dyDescent="0.25"/>
    <row r="24" spans="1:8" x14ac:dyDescent="0.25"/>
  </sheetData>
  <mergeCells count="4">
    <mergeCell ref="A1:H2"/>
    <mergeCell ref="A3:H3"/>
    <mergeCell ref="A18:H18"/>
    <mergeCell ref="A19:H22"/>
  </mergeCells>
  <conditionalFormatting sqref="H5">
    <cfRule type="expression" dxfId="20" priority="1">
      <formula>H5="Review"</formula>
    </cfRule>
    <cfRule type="expression" dxfId="21" priority="2">
      <formula>H5="Complete"</formula>
    </cfRule>
  </conditionalFormatting>
  <pageMargins left="0.25" right="0.25" top="0.4" bottom="0.4" header="0.1" footer="0.1"/>
  <pageSetup paperSize="9" orientation="landscape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 showGridLines="0"/>
  </sheetViews>
  <sheetFormatPr defaultRowHeight="15" outlineLevelRow="0" outlineLevelCol="0" x14ac:dyDescent="55"/>
  <cols>
    <col min="1" max="1" width="19" customWidth="1"/>
    <col min="2" max="2" width="24" customWidth="1"/>
    <col min="3" max="3" width="16" customWidth="1"/>
    <col min="4" max="4" width="18" customWidth="1"/>
  </cols>
  <sheetData>
    <row r="1" ht="30" customHeight="1" spans="1:4" s="8" customFormat="1" x14ac:dyDescent="0.25">
      <c r="A1" s="8" t="s">
        <v>30</v>
      </c>
      <c r="B1" s="8" t="s">
        <v>35</v>
      </c>
      <c r="C1" s="8" t="s">
        <v>98</v>
      </c>
      <c r="D1" s="8" t="s">
        <v>7</v>
      </c>
    </row>
    <row r="2" spans="1:4" x14ac:dyDescent="0.25">
      <c r="A2" t="s">
        <v>40</v>
      </c>
      <c r="B2" t="s">
        <v>41</v>
      </c>
      <c r="C2" t="s">
        <v>113</v>
      </c>
      <c r="D2" t="s">
        <v>8</v>
      </c>
    </row>
    <row r="3" spans="1:4" x14ac:dyDescent="0.25">
      <c r="A3" t="s">
        <v>62</v>
      </c>
      <c r="B3" t="s">
        <v>45</v>
      </c>
      <c r="C3" t="s">
        <v>114</v>
      </c>
      <c r="D3" t="s">
        <v>115</v>
      </c>
    </row>
    <row r="4" spans="1:4" x14ac:dyDescent="0.25">
      <c r="A4" t="s">
        <v>71</v>
      </c>
      <c r="B4" t="s">
        <v>48</v>
      </c>
      <c r="C4" t="s">
        <v>116</v>
      </c>
    </row>
    <row r="5" spans="1:4" x14ac:dyDescent="0.25">
      <c r="A5" t="s">
        <v>74</v>
      </c>
      <c r="B5" t="s">
        <v>56</v>
      </c>
      <c r="C5" t="s">
        <v>117</v>
      </c>
    </row>
    <row r="6" spans="1:4" x14ac:dyDescent="0.25">
      <c r="A6" t="s">
        <v>78</v>
      </c>
      <c r="B6" t="s">
        <v>63</v>
      </c>
      <c r="C6" t="s">
        <v>118</v>
      </c>
    </row>
    <row r="7" spans="1:4" x14ac:dyDescent="0.25">
      <c r="A7" t="s">
        <v>52</v>
      </c>
      <c r="B7" t="s">
        <v>68</v>
      </c>
    </row>
    <row r="8" spans="1:4" x14ac:dyDescent="0.25">
      <c r="B8" t="s">
        <v>71</v>
      </c>
    </row>
    <row r="9" spans="1:4" x14ac:dyDescent="0.25">
      <c r="B9" t="s">
        <v>74</v>
      </c>
    </row>
    <row r="10" spans="1:4" x14ac:dyDescent="0.25">
      <c r="B10" t="s">
        <v>79</v>
      </c>
    </row>
    <row r="11" spans="1:4" x14ac:dyDescent="0.25">
      <c r="B1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Paste Import</vt:lpstr>
      <vt:lpstr>Manual Input</vt:lpstr>
      <vt:lpstr>Review</vt:lpstr>
      <vt:lpstr>Summary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FinBoard</dc:creator>
  <dc:title/>
  <dc:subject/>
  <dc:description/>
  <cp:keywords/>
  <cp:category/>
  <cp:lastModifiedBy>Unknown</cp:lastModifiedBy>
  <dcterms:created xsi:type="dcterms:W3CDTF">2026-07-22T00:00:00Z</dcterms:created>
  <dcterms:modified xsi:type="dcterms:W3CDTF">2026-07-22T14:00:30Z</dcterms:modified>
</cp:coreProperties>
</file>