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ttings" sheetId="2" state="visible" r:id="rId2"/>
    <sheet name="Estim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1F2937"/>
      <sz val="15"/>
    </font>
    <font>
      <color rgb="006B7280"/>
      <sz val="10"/>
    </font>
    <font>
      <b val="1"/>
      <color rgb="00D97706"/>
      <sz val="12"/>
    </font>
    <font>
      <b val="1"/>
      <color rgb="001F2937"/>
      <sz val="13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9E6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pivotButton="0" quotePrefix="0" xfId="0"/>
    <xf numFmtId="0" fontId="0" fillId="0" borderId="1" pivotButton="0" quotePrefix="0" xfId="0"/>
    <xf numFmtId="164" fontId="0" fillId="3" borderId="1" pivotButton="0" quotePrefix="0" xfId="0"/>
    <xf numFmtId="0" fontId="2" fillId="0" borderId="1" pivotButton="0" quotePrefix="0" xfId="0"/>
    <xf numFmtId="0" fontId="0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64" fontId="0" fillId="0" borderId="1" pivotButton="0" quotePrefix="0" xfId="0"/>
    <xf numFmtId="9" fontId="0" fillId="3" borderId="1" pivotButton="0" quotePrefix="0" xfId="0"/>
    <xf numFmtId="0" fontId="6" fillId="4" borderId="1" pivotButton="0" quotePrefix="0" xfId="0"/>
    <xf numFmtId="0" fontId="0" fillId="4" borderId="1" pivotButton="0" quotePrefix="0" xfId="0"/>
    <xf numFmtId="164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2026 Tip and Overtime Deduction Estimator (OBBBA)</t>
        </is>
      </c>
    </row>
    <row r="2">
      <c r="B2" s="2" t="inlineStr">
        <is>
          <t>Estimate the federal 'no tax on tips' and 'no tax on overtime' deductions for clients or staff, tax years 2025 to 2028.</t>
        </is>
      </c>
    </row>
    <row r="3"/>
    <row r="4">
      <c r="B4" s="3" t="inlineStr">
        <is>
          <t>What these deductions are</t>
        </is>
      </c>
    </row>
    <row r="5" ht="44" customHeight="1">
      <c r="B5" s="4" t="inlineStr">
        <is>
          <t>The One Big Beautiful Bill Act (OBBBA, Public Law 119-21) created two new below-the-line deductions for tax years 2025 through 2028, claimed on Schedule 1-A and available whether or not the taxpayer itemizes:</t>
        </is>
      </c>
    </row>
    <row r="6" ht="30" customHeight="1">
      <c r="B6" s="4" t="inlineStr">
        <is>
          <t xml:space="preserve">  - Qualified tips deduction: up to $25,000 per return for voluntary tips received in an occupation the IRS lists as customarily and regularly tipped, reported on Form W-2, Form 1099, or Form 4137.</t>
        </is>
      </c>
    </row>
    <row r="7" ht="30" customHeight="1">
      <c r="B7" s="4" t="inlineStr">
        <is>
          <t xml:space="preserve">  - Qualified overtime deduction: up to $12,500 (single) or $25,000 (married filing jointly) for the PREMIUM portion of overtime required by section 7 of the Fair Labor Standards Act. Only the extra half of time-and-a-half qualifies, not the full overtime paycheck.</t>
        </is>
      </c>
    </row>
    <row r="8" ht="44" customHeight="1">
      <c r="B8" s="4" t="inlineStr">
        <is>
          <t>Both deductions phase out once modified adjusted gross income (MAGI) passes $150,000 (single) or $300,000 (married filing jointly). Each deduction is reduced by $100 for every $1,000 of MAGI above the threshold. Parameters here reflect IRS guidance as of mid 2026; confirm current figures with your CPA before filing.</t>
        </is>
      </c>
    </row>
    <row r="9"/>
    <row r="10">
      <c r="B10" s="3" t="inlineStr">
        <is>
          <t>Who qualifies</t>
        </is>
      </c>
    </row>
    <row r="11" ht="30" customHeight="1">
      <c r="B11" s="4" t="inlineStr">
        <is>
          <t xml:space="preserve">  - Tips: W-2 employees and self-employed workers in IRS-listed tipped occupations (servers, bartenders, stylists, drivers, and similar). Mandatory service charges do not count.</t>
        </is>
      </c>
    </row>
    <row r="12" ht="30" customHeight="1">
      <c r="B12" s="4" t="inlineStr">
        <is>
          <t xml:space="preserve">  - Overtime: workers whose overtime is required under the FLSA. Only the premium (half-time) portion shown on the W-2 as qualified overtime compensation is deductible.</t>
        </is>
      </c>
    </row>
    <row r="13" ht="30" customHeight="1">
      <c r="B13" s="4" t="inlineStr">
        <is>
          <t xml:space="preserve">  - Married taxpayers must file jointly to claim either deduction, and the return must include a valid Social Security number.</t>
        </is>
      </c>
    </row>
    <row r="14"/>
    <row r="15">
      <c r="B15" s="3" t="inlineStr">
        <is>
          <t>How to use this workbook</t>
        </is>
      </c>
    </row>
    <row r="16" ht="30" customHeight="1">
      <c r="B16" s="4" t="inlineStr">
        <is>
          <t xml:space="preserve">  - 1. Review the Settings sheet. Caps, phase-out thresholds, and the phase-out rate live there and feed every formula. Update them if the IRS adjusts figures.</t>
        </is>
      </c>
    </row>
    <row r="17" ht="30" customHeight="1">
      <c r="B17" s="4" t="inlineStr">
        <is>
          <t xml:space="preserve">  - 2. On the Estimator sheet, fill the yellow input cells only: client or employee name, filing status (dropdown), MAGI, qualified tips received, qualified OT premium pay, and the marginal tax rate you want to model.</t>
        </is>
      </c>
    </row>
    <row r="18" ht="30" customHeight="1">
      <c r="B18" s="4" t="inlineStr">
        <is>
          <t xml:space="preserve">  - 3. The white columns compute automatically: the phase-out reduction, the capped tips deduction, the capped overtime deduction, the total deduction, and the estimated federal tax saving at the marginal rate you entered.</t>
        </is>
      </c>
    </row>
    <row r="19"/>
    <row r="20">
      <c r="B20" s="3" t="inlineStr">
        <is>
          <t>Worked example</t>
        </is>
      </c>
    </row>
    <row r="21" ht="44" customHeight="1">
      <c r="B21" s="4" t="inlineStr">
        <is>
          <t>Row 6 of the Estimator shows Angela Ruiz, single, MAGI $172,400. She is $22,400 over the $150,000 threshold, so each deduction is reduced by $2,300 (23 steps of $1,000, at $100 per step). Her $21,000 of tips becomes an $18,700 deduction and her $4,100 of OT premium becomes $1,800, for a $20,500 total. At a 32% marginal rate that is roughly $6,560 of federal tax saved.</t>
        </is>
      </c>
    </row>
    <row r="22"/>
    <row r="23" ht="44" customHeight="1">
      <c r="B23" s="4" t="inlineStr">
        <is>
          <t>This workbook is a planning estimate, not tax advice. It models the federal deduction only (state treatment varies) and ignores interactions with other credits and phase-outs. Confirm results with a qualified tax professional.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44" customWidth="1" min="4" max="4"/>
  </cols>
  <sheetData>
    <row r="1">
      <c r="A1" s="5" t="inlineStr">
        <is>
          <t>Settings - OBBBA deduction parameters (tax years 2025-2028)</t>
        </is>
      </c>
    </row>
    <row r="2">
      <c r="A2" s="2" t="inlineStr">
        <is>
          <t>Every formula on the Estimator sheet reads from this table. Edit yellow cells only.</t>
        </is>
      </c>
    </row>
    <row r="4">
      <c r="A4" s="6" t="inlineStr">
        <is>
          <t>Parameter</t>
        </is>
      </c>
      <c r="B4" s="6" t="inlineStr">
        <is>
          <t>Single</t>
        </is>
      </c>
      <c r="C4" s="6" t="inlineStr">
        <is>
          <t>MFJ</t>
        </is>
      </c>
      <c r="D4" s="6" t="inlineStr">
        <is>
          <t>Notes</t>
        </is>
      </c>
    </row>
    <row r="5">
      <c r="A5" s="7" t="inlineStr">
        <is>
          <t>Qualified tips deduction cap</t>
        </is>
      </c>
      <c r="B5" s="8" t="n">
        <v>25000</v>
      </c>
      <c r="C5" s="8" t="n">
        <v>25000</v>
      </c>
      <c r="D5" s="9" t="inlineStr">
        <is>
          <t>Per return; same cap for both statuses</t>
        </is>
      </c>
    </row>
    <row r="6">
      <c r="A6" s="7" t="inlineStr">
        <is>
          <t>Qualified OT premium deduction cap</t>
        </is>
      </c>
      <c r="B6" s="8" t="n">
        <v>12500</v>
      </c>
      <c r="C6" s="8" t="n">
        <v>25000</v>
      </c>
      <c r="D6" s="9" t="inlineStr">
        <is>
          <t>FLSA half-time premium portion only</t>
        </is>
      </c>
    </row>
    <row r="7">
      <c r="A7" s="7" t="inlineStr">
        <is>
          <t>Phase-out MAGI threshold</t>
        </is>
      </c>
      <c r="B7" s="8" t="n">
        <v>150000</v>
      </c>
      <c r="C7" s="8" t="n">
        <v>300000</v>
      </c>
      <c r="D7" s="9" t="inlineStr">
        <is>
          <t>Reduction starts above this MAGI</t>
        </is>
      </c>
    </row>
    <row r="9">
      <c r="A9" s="7" t="inlineStr">
        <is>
          <t>Phase-out reduction per step</t>
        </is>
      </c>
      <c r="B9" s="8" t="n">
        <v>100</v>
      </c>
      <c r="D9" s="9" t="inlineStr">
        <is>
          <t>Deduction falls $100 per step over threshold</t>
        </is>
      </c>
    </row>
    <row r="10">
      <c r="A10" s="7" t="inlineStr">
        <is>
          <t>Phase-out step size (MAGI)</t>
        </is>
      </c>
      <c r="B10" s="8" t="n">
        <v>1000</v>
      </c>
      <c r="D10" s="9" t="inlineStr">
        <is>
          <t>Each started $1,000 of excess MAGI = one step</t>
        </is>
      </c>
    </row>
    <row r="12">
      <c r="A12" s="7" t="inlineStr">
        <is>
          <t>Default filing status (used for new rows)</t>
        </is>
      </c>
      <c r="B12" s="10" t="inlineStr">
        <is>
          <t>Single</t>
        </is>
      </c>
    </row>
    <row r="14">
      <c r="A14" s="2" t="inlineStr">
        <is>
          <t>Source: IRS, One Big Beautiful Bill Act deductions for working Americans (Schedule 1-A), per guidance as of mid 2026.</t>
        </is>
      </c>
    </row>
  </sheetData>
  <dataValidations count="1">
    <dataValidation sqref="B12" showDropDown="0" showInputMessage="0" showErrorMessage="0" allowBlank="1" promptTitle="Filing status" prompt="Single or MFJ (married filing jointly)" type="list">
      <formula1>"Single,MFJ"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1" customWidth="1" min="10" max="10"/>
    <col width="14" customWidth="1" min="11" max="11"/>
  </cols>
  <sheetData>
    <row r="1" ht="32" customHeight="1">
      <c r="A1" s="11" t="inlineStr">
        <is>
          <t>Client / Employee</t>
        </is>
      </c>
      <c r="B1" s="11" t="inlineStr">
        <is>
          <t>Filing Status</t>
        </is>
      </c>
      <c r="C1" s="11" t="inlineStr">
        <is>
          <t>MAGI</t>
        </is>
      </c>
      <c r="D1" s="11" t="inlineStr">
        <is>
          <t>Qualified Tips Received</t>
        </is>
      </c>
      <c r="E1" s="11" t="inlineStr">
        <is>
          <t>Qualified OT Premium Pay</t>
        </is>
      </c>
      <c r="F1" s="11" t="inlineStr">
        <is>
          <t>Phase-out Reduction</t>
        </is>
      </c>
      <c r="G1" s="11" t="inlineStr">
        <is>
          <t>Tips Deduction</t>
        </is>
      </c>
      <c r="H1" s="11" t="inlineStr">
        <is>
          <t>OT Deduction</t>
        </is>
      </c>
      <c r="I1" s="11" t="inlineStr">
        <is>
          <t>Total Deduction</t>
        </is>
      </c>
      <c r="J1" s="11" t="inlineStr">
        <is>
          <t>Marginal Rate</t>
        </is>
      </c>
      <c r="K1" s="11" t="inlineStr">
        <is>
          <t>Est. Tax Saving</t>
        </is>
      </c>
    </row>
    <row r="2">
      <c r="A2" s="12" t="inlineStr">
        <is>
          <t>Maria Lopez (server)</t>
        </is>
      </c>
      <c r="B2" s="10" t="inlineStr">
        <is>
          <t>Single</t>
        </is>
      </c>
      <c r="C2" s="8" t="n">
        <v>62000</v>
      </c>
      <c r="D2" s="8" t="n">
        <v>18400</v>
      </c>
      <c r="E2" s="8" t="n">
        <v>3200</v>
      </c>
      <c r="F2" s="13">
        <f>IF($B2="","",MAX(0,ROUNDUP(($C2-IF($B2="MFJ",Settings!$C$7,Settings!$B$7))/Settings!$B$10,0)*Settings!$B$9))</f>
        <v/>
      </c>
      <c r="G2" s="13">
        <f>IF($B2="","",MAX(0,MIN($D2,IF($B2="MFJ",Settings!$C$5,Settings!$B$5))-$F2))</f>
        <v/>
      </c>
      <c r="H2" s="13">
        <f>IF($B2="","",MAX(0,MIN($E2,IF($B2="MFJ",Settings!$C$6,Settings!$B$6))-$F2))</f>
        <v/>
      </c>
      <c r="I2" s="13">
        <f>IF($B2="","",$G2+$H2)</f>
        <v/>
      </c>
      <c r="J2" s="14" t="n">
        <v>0.22</v>
      </c>
      <c r="K2" s="13">
        <f>IF($B2="","",$I2*$J2)</f>
        <v/>
      </c>
    </row>
    <row r="3">
      <c r="A3" s="12" t="inlineStr">
        <is>
          <t>James Chen (bartender)</t>
        </is>
      </c>
      <c r="B3" s="10" t="inlineStr">
        <is>
          <t>Single</t>
        </is>
      </c>
      <c r="C3" s="8" t="n">
        <v>88500</v>
      </c>
      <c r="D3" s="8" t="n">
        <v>31000</v>
      </c>
      <c r="E3" s="8" t="n">
        <v>5800</v>
      </c>
      <c r="F3" s="13">
        <f>IF($B3="","",MAX(0,ROUNDUP(($C3-IF($B3="MFJ",Settings!$C$7,Settings!$B$7))/Settings!$B$10,0)*Settings!$B$9))</f>
        <v/>
      </c>
      <c r="G3" s="13">
        <f>IF($B3="","",MAX(0,MIN($D3,IF($B3="MFJ",Settings!$C$5,Settings!$B$5))-$F3))</f>
        <v/>
      </c>
      <c r="H3" s="13">
        <f>IF($B3="","",MAX(0,MIN($E3,IF($B3="MFJ",Settings!$C$6,Settings!$B$6))-$F3))</f>
        <v/>
      </c>
      <c r="I3" s="13">
        <f>IF($B3="","",$G3+$H3)</f>
        <v/>
      </c>
      <c r="J3" s="14" t="n">
        <v>0.24</v>
      </c>
      <c r="K3" s="13">
        <f>IF($B3="","",$I3*$J3)</f>
        <v/>
      </c>
    </row>
    <row r="4">
      <c r="A4" s="12" t="inlineStr">
        <is>
          <t>Priya &amp; Dev Patel</t>
        </is>
      </c>
      <c r="B4" s="10" t="inlineStr">
        <is>
          <t>MFJ</t>
        </is>
      </c>
      <c r="C4" s="8" t="n">
        <v>142000</v>
      </c>
      <c r="D4" s="8" t="n">
        <v>12500</v>
      </c>
      <c r="E4" s="8" t="n">
        <v>9400</v>
      </c>
      <c r="F4" s="13">
        <f>IF($B4="","",MAX(0,ROUNDUP(($C4-IF($B4="MFJ",Settings!$C$7,Settings!$B$7))/Settings!$B$10,0)*Settings!$B$9))</f>
        <v/>
      </c>
      <c r="G4" s="13">
        <f>IF($B4="","",MAX(0,MIN($D4,IF($B4="MFJ",Settings!$C$5,Settings!$B$5))-$F4))</f>
        <v/>
      </c>
      <c r="H4" s="13">
        <f>IF($B4="","",MAX(0,MIN($E4,IF($B4="MFJ",Settings!$C$6,Settings!$B$6))-$F4))</f>
        <v/>
      </c>
      <c r="I4" s="13">
        <f>IF($B4="","",$G4+$H4)</f>
        <v/>
      </c>
      <c r="J4" s="14" t="n">
        <v>0.22</v>
      </c>
      <c r="K4" s="13">
        <f>IF($B4="","",$I4*$J4)</f>
        <v/>
      </c>
    </row>
    <row r="5">
      <c r="A5" s="12" t="inlineStr">
        <is>
          <t>Robert Hale (line cook)</t>
        </is>
      </c>
      <c r="B5" s="10" t="inlineStr">
        <is>
          <t>Single</t>
        </is>
      </c>
      <c r="C5" s="8" t="n">
        <v>118000</v>
      </c>
      <c r="D5" s="8" t="n">
        <v>0</v>
      </c>
      <c r="E5" s="8" t="n">
        <v>15900</v>
      </c>
      <c r="F5" s="13">
        <f>IF($B5="","",MAX(0,ROUNDUP(($C5-IF($B5="MFJ",Settings!$C$7,Settings!$B$7))/Settings!$B$10,0)*Settings!$B$9))</f>
        <v/>
      </c>
      <c r="G5" s="13">
        <f>IF($B5="","",MAX(0,MIN($D5,IF($B5="MFJ",Settings!$C$5,Settings!$B$5))-$F5))</f>
        <v/>
      </c>
      <c r="H5" s="13">
        <f>IF($B5="","",MAX(0,MIN($E5,IF($B5="MFJ",Settings!$C$6,Settings!$B$6))-$F5))</f>
        <v/>
      </c>
      <c r="I5" s="13">
        <f>IF($B5="","",$G5+$H5)</f>
        <v/>
      </c>
      <c r="J5" s="14" t="n">
        <v>0.24</v>
      </c>
      <c r="K5" s="13">
        <f>IF($B5="","",$I5*$J5)</f>
        <v/>
      </c>
    </row>
    <row r="6">
      <c r="A6" s="12" t="inlineStr">
        <is>
          <t>Angela Ruiz (stylist)</t>
        </is>
      </c>
      <c r="B6" s="10" t="inlineStr">
        <is>
          <t>Single</t>
        </is>
      </c>
      <c r="C6" s="8" t="n">
        <v>172400</v>
      </c>
      <c r="D6" s="8" t="n">
        <v>21000</v>
      </c>
      <c r="E6" s="8" t="n">
        <v>4100</v>
      </c>
      <c r="F6" s="13">
        <f>IF($B6="","",MAX(0,ROUNDUP(($C6-IF($B6="MFJ",Settings!$C$7,Settings!$B$7))/Settings!$B$10,0)*Settings!$B$9))</f>
        <v/>
      </c>
      <c r="G6" s="13">
        <f>IF($B6="","",MAX(0,MIN($D6,IF($B6="MFJ",Settings!$C$5,Settings!$B$5))-$F6))</f>
        <v/>
      </c>
      <c r="H6" s="13">
        <f>IF($B6="","",MAX(0,MIN($E6,IF($B6="MFJ",Settings!$C$6,Settings!$B$6))-$F6))</f>
        <v/>
      </c>
      <c r="I6" s="13">
        <f>IF($B6="","",$G6+$H6)</f>
        <v/>
      </c>
      <c r="J6" s="14" t="n">
        <v>0.32</v>
      </c>
      <c r="K6" s="13">
        <f>IF($B6="","",$I6*$J6)</f>
        <v/>
      </c>
    </row>
    <row r="7">
      <c r="A7" s="12" t="inlineStr">
        <is>
          <t>Tom &amp; Sarah Beck</t>
        </is>
      </c>
      <c r="B7" s="10" t="inlineStr">
        <is>
          <t>MFJ</t>
        </is>
      </c>
      <c r="C7" s="8" t="n">
        <v>560000</v>
      </c>
      <c r="D7" s="8" t="n">
        <v>26000</v>
      </c>
      <c r="E7" s="8" t="n">
        <v>22000</v>
      </c>
      <c r="F7" s="13">
        <f>IF($B7="","",MAX(0,ROUNDUP(($C7-IF($B7="MFJ",Settings!$C$7,Settings!$B$7))/Settings!$B$10,0)*Settings!$B$9))</f>
        <v/>
      </c>
      <c r="G7" s="13">
        <f>IF($B7="","",MAX(0,MIN($D7,IF($B7="MFJ",Settings!$C$5,Settings!$B$5))-$F7))</f>
        <v/>
      </c>
      <c r="H7" s="13">
        <f>IF($B7="","",MAX(0,MIN($E7,IF($B7="MFJ",Settings!$C$6,Settings!$B$6))-$F7))</f>
        <v/>
      </c>
      <c r="I7" s="13">
        <f>IF($B7="","",$G7+$H7)</f>
        <v/>
      </c>
      <c r="J7" s="14" t="n">
        <v>0.35</v>
      </c>
      <c r="K7" s="13">
        <f>IF($B7="","",$I7*$J7)</f>
        <v/>
      </c>
    </row>
    <row r="8">
      <c r="A8" s="12" t="n"/>
      <c r="B8" s="12" t="n"/>
      <c r="C8" s="8" t="n"/>
      <c r="D8" s="8" t="n"/>
      <c r="E8" s="8" t="n"/>
      <c r="F8" s="13">
        <f>IF($B8="","",MAX(0,ROUNDUP(($C8-IF($B8="MFJ",Settings!$C$7,Settings!$B$7))/Settings!$B$10,0)*Settings!$B$9))</f>
        <v/>
      </c>
      <c r="G8" s="13">
        <f>IF($B8="","",MAX(0,MIN($D8,IF($B8="MFJ",Settings!$C$5,Settings!$B$5))-$F8))</f>
        <v/>
      </c>
      <c r="H8" s="13">
        <f>IF($B8="","",MAX(0,MIN($E8,IF($B8="MFJ",Settings!$C$6,Settings!$B$6))-$F8))</f>
        <v/>
      </c>
      <c r="I8" s="13">
        <f>IF($B8="","",$G8+$H8)</f>
        <v/>
      </c>
      <c r="J8" s="14" t="n"/>
      <c r="K8" s="13">
        <f>IF($B8="","",$I8*$J8)</f>
        <v/>
      </c>
    </row>
    <row r="9">
      <c r="A9" s="12" t="n"/>
      <c r="B9" s="12" t="n"/>
      <c r="C9" s="8" t="n"/>
      <c r="D9" s="8" t="n"/>
      <c r="E9" s="8" t="n"/>
      <c r="F9" s="13">
        <f>IF($B9="","",MAX(0,ROUNDUP(($C9-IF($B9="MFJ",Settings!$C$7,Settings!$B$7))/Settings!$B$10,0)*Settings!$B$9))</f>
        <v/>
      </c>
      <c r="G9" s="13">
        <f>IF($B9="","",MAX(0,MIN($D9,IF($B9="MFJ",Settings!$C$5,Settings!$B$5))-$F9))</f>
        <v/>
      </c>
      <c r="H9" s="13">
        <f>IF($B9="","",MAX(0,MIN($E9,IF($B9="MFJ",Settings!$C$6,Settings!$B$6))-$F9))</f>
        <v/>
      </c>
      <c r="I9" s="13">
        <f>IF($B9="","",$G9+$H9)</f>
        <v/>
      </c>
      <c r="J9" s="14" t="n"/>
      <c r="K9" s="13">
        <f>IF($B9="","",$I9*$J9)</f>
        <v/>
      </c>
    </row>
    <row r="10">
      <c r="A10" s="12" t="n"/>
      <c r="B10" s="12" t="n"/>
      <c r="C10" s="8" t="n"/>
      <c r="D10" s="8" t="n"/>
      <c r="E10" s="8" t="n"/>
      <c r="F10" s="13">
        <f>IF($B10="","",MAX(0,ROUNDUP(($C10-IF($B10="MFJ",Settings!$C$7,Settings!$B$7))/Settings!$B$10,0)*Settings!$B$9))</f>
        <v/>
      </c>
      <c r="G10" s="13">
        <f>IF($B10="","",MAX(0,MIN($D10,IF($B10="MFJ",Settings!$C$5,Settings!$B$5))-$F10))</f>
        <v/>
      </c>
      <c r="H10" s="13">
        <f>IF($B10="","",MAX(0,MIN($E10,IF($B10="MFJ",Settings!$C$6,Settings!$B$6))-$F10))</f>
        <v/>
      </c>
      <c r="I10" s="13">
        <f>IF($B10="","",$G10+$H10)</f>
        <v/>
      </c>
      <c r="J10" s="14" t="n"/>
      <c r="K10" s="13">
        <f>IF($B10="","",$I10*$J10)</f>
        <v/>
      </c>
    </row>
    <row r="11">
      <c r="A11" s="12" t="n"/>
      <c r="B11" s="12" t="n"/>
      <c r="C11" s="8" t="n"/>
      <c r="D11" s="8" t="n"/>
      <c r="E11" s="8" t="n"/>
      <c r="F11" s="13">
        <f>IF($B11="","",MAX(0,ROUNDUP(($C11-IF($B11="MFJ",Settings!$C$7,Settings!$B$7))/Settings!$B$10,0)*Settings!$B$9))</f>
        <v/>
      </c>
      <c r="G11" s="13">
        <f>IF($B11="","",MAX(0,MIN($D11,IF($B11="MFJ",Settings!$C$5,Settings!$B$5))-$F11))</f>
        <v/>
      </c>
      <c r="H11" s="13">
        <f>IF($B11="","",MAX(0,MIN($E11,IF($B11="MFJ",Settings!$C$6,Settings!$B$6))-$F11))</f>
        <v/>
      </c>
      <c r="I11" s="13">
        <f>IF($B11="","",$G11+$H11)</f>
        <v/>
      </c>
      <c r="J11" s="14" t="n"/>
      <c r="K11" s="13">
        <f>IF($B11="","",$I11*$J11)</f>
        <v/>
      </c>
    </row>
    <row r="12">
      <c r="A12" s="15" t="inlineStr">
        <is>
          <t>TOTALS</t>
        </is>
      </c>
      <c r="B12" s="16" t="n"/>
      <c r="C12" s="16" t="n"/>
      <c r="D12" s="17">
        <f>SUM(D2:D11)</f>
        <v/>
      </c>
      <c r="E12" s="17">
        <f>SUM(E2:E11)</f>
        <v/>
      </c>
      <c r="F12" s="16" t="n"/>
      <c r="G12" s="17">
        <f>SUM(G2:G11)</f>
        <v/>
      </c>
      <c r="H12" s="17">
        <f>SUM(H2:H11)</f>
        <v/>
      </c>
      <c r="I12" s="17">
        <f>SUM(I2:I11)</f>
        <v/>
      </c>
      <c r="J12" s="16" t="n"/>
      <c r="K12" s="17">
        <f>SUM(K2:K11)</f>
        <v/>
      </c>
    </row>
    <row r="14">
      <c r="A14" s="2" t="inlineStr">
        <is>
          <t>Yellow cells are inputs. Phase-out: each deduction falls $100 per $1,000 of MAGI over $150,000 Single / $300,000 MFJ (Settings sheet). Planning estimate only - confirm with your CPA.</t>
        </is>
      </c>
    </row>
  </sheetData>
  <dataValidations count="2">
    <dataValidation sqref="B2 B3 B4 B5 B6 B7 B8 B9 B10 B11" showDropDown="0" showInputMessage="0" showErrorMessage="0" allowBlank="1" promptTitle="Filing status" prompt="Single or MFJ. Married taxpayers must file jointly to claim these deductions." type="list">
      <formula1>"Single,MFJ"</formula1>
    </dataValidation>
    <dataValidation sqref="J2 J3 J4 J5 J6 J7 J8 J9 J10 J11" showDropDown="0" showInputMessage="0" showErrorMessage="0" allowBlank="1" promptTitle="Marginal rate" prompt="Enter as a decimal or percent, e.g. 22%" type="decimal" operator="between">
      <formula1>0</formula1>
      <formula2>0.6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2026-07-19T11:02:20Z</dcterms:created>
  <dcterms:modified xsi:type="dcterms:W3CDTF">2026-07-19T11:02:20Z</dcterms:modified>
</cp:coreProperties>
</file>