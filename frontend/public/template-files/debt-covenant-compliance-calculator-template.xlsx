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Agreement Terms" state="visible" r:id="rId5"/>
    <sheet sheetId="3" name="Financial Inputs" state="visible" r:id="rId6"/>
    <sheet sheetId="4" name="Covenant Tests" state="visible" r:id="rId7"/>
    <sheet sheetId="5" name="Forecast Cases" state="visible" r:id="rId8"/>
    <sheet sheetId="6" name="Summary" state="visible" r:id="rId9"/>
  </sheets>
  <definedNames>
    <definedName name="_xlnm.Print_Area" localSheetId="5">'Summary'!$A1:$H24</definedName>
  </definedNames>
  <calcPr calcId="171027" fullCalcOnLoad="1"/>
</workbook>
</file>

<file path=xl/sharedStrings.xml><?xml version="1.0" encoding="utf-8"?>
<sst xmlns="http://schemas.openxmlformats.org/spreadsheetml/2006/main" count="228" uniqueCount="174">
  <si>
    <t>Debt Covenant Compliance Calculator</t>
  </si>
  <si>
    <t>A controlled monthly workflow for agreement terms, calculations, headroom, downside cases, and reviewer sign-off.</t>
  </si>
  <si>
    <t>How to use this workbook</t>
  </si>
  <si>
    <t>1. Read the signed credit agreement and enter the exact covenant definitions and thresholds in Agreement Terms.</t>
  </si>
  <si>
    <t>2. Enter period-end balances and trailing-period measures in Financial Inputs. Keep source references with every amount.</t>
  </si>
  <si>
    <t>3. Review Covenant Tests. Investigate any warning or failed result before preparing a compliance certificate.</t>
  </si>
  <si>
    <t>4. Use Forecast Cases to test headroom under downside assumptions for EBITDA, debt, interest, and liquidity.</t>
  </si>
  <si>
    <t>5. Complete the Summary sign-off only after the workbook ties to the general ledger and supporting schedules.</t>
  </si>
  <si>
    <t>Control notes</t>
  </si>
  <si>
    <t>Blue text</t>
  </si>
  <si>
    <t>Editable input</t>
  </si>
  <si>
    <t>Black text</t>
  </si>
  <si>
    <t>Formula or linked result</t>
  </si>
  <si>
    <t>Green</t>
  </si>
  <si>
    <t>Pass</t>
  </si>
  <si>
    <t>Amber</t>
  </si>
  <si>
    <t>Limited headroom or review required</t>
  </si>
  <si>
    <t>Red</t>
  </si>
  <si>
    <t>Failed covenant or missing support</t>
  </si>
  <si>
    <t>Important: Credit agreement definitions govern. This workbook is an operational aid, not legal, accounting, or lending advice. Have counsel and the lender confirm interpretations when terms are ambiguous.</t>
  </si>
  <si>
    <t>Agreement Terms and Covenant Definitions</t>
  </si>
  <si>
    <t>Enter the exact terms from the executed agreement and amendments. Do not substitute a generic formula.</t>
  </si>
  <si>
    <t>Field</t>
  </si>
  <si>
    <t>Input</t>
  </si>
  <si>
    <t>Unit</t>
  </si>
  <si>
    <t>Effective Date</t>
  </si>
  <si>
    <t>Agreement Reference</t>
  </si>
  <si>
    <t>Definition Note</t>
  </si>
  <si>
    <t>Borrower</t>
  </si>
  <si>
    <t>Northstar Components LLC</t>
  </si>
  <si>
    <t>Text</t>
  </si>
  <si>
    <t>Credit Agreement 6.11</t>
  </si>
  <si>
    <t>Legal borrower and guarantor group</t>
  </si>
  <si>
    <t>Testing Period End</t>
  </si>
  <si>
    <t>Date</t>
  </si>
  <si>
    <t>Credit Agreement 7.02</t>
  </si>
  <si>
    <t>Quarterly testing date</t>
  </si>
  <si>
    <t>Maximum Net Leverage</t>
  </si>
  <si>
    <t>Ratio</t>
  </si>
  <si>
    <t>Credit Agreement 7.11(a)</t>
  </si>
  <si>
    <t>Net funded debt divided by adjusted EBITDA</t>
  </si>
  <si>
    <t>Minimum Interest Coverage</t>
  </si>
  <si>
    <t>Credit Agreement 7.11(b)</t>
  </si>
  <si>
    <t>Adjusted EBITDA divided by cash interest</t>
  </si>
  <si>
    <t>Minimum Fixed Charge Coverage</t>
  </si>
  <si>
    <t>Credit Agreement 7.11(c)</t>
  </si>
  <si>
    <t>Agreement-defined numerator divided by fixed charges</t>
  </si>
  <si>
    <t>Minimum Liquidity</t>
  </si>
  <si>
    <t>Currency</t>
  </si>
  <si>
    <t>Credit Agreement 7.11(d)</t>
  </si>
  <si>
    <t>Unrestricted cash plus eligible revolver availability</t>
  </si>
  <si>
    <t>Cash Netting Cap</t>
  </si>
  <si>
    <t>Definitions - Net Debt</t>
  </si>
  <si>
    <t>Maximum cash permitted to reduce funded debt</t>
  </si>
  <si>
    <t>Warning Band</t>
  </si>
  <si>
    <t>Percentage</t>
  </si>
  <si>
    <t>Internal policy</t>
  </si>
  <si>
    <t>Flag when less than 15 percent of threshold remains</t>
  </si>
  <si>
    <t>EBITDA Add-backs Permitted</t>
  </si>
  <si>
    <t>Yes</t>
  </si>
  <si>
    <t>Yes or No</t>
  </si>
  <si>
    <t>Definitions - EBITDA</t>
  </si>
  <si>
    <t>Subject to agreement caps and evidence</t>
  </si>
  <si>
    <t>USD</t>
  </si>
  <si>
    <t>Credit Agreement 1.01</t>
  </si>
  <si>
    <t>Reporting currency</t>
  </si>
  <si>
    <t>Financial Inputs and Source References</t>
  </si>
  <si>
    <t>Use trailing twelve-month amounts unless the agreement specifies another period. Tie every input to a controlled source.</t>
  </si>
  <si>
    <t>Measure</t>
  </si>
  <si>
    <t>Amount</t>
  </si>
  <si>
    <t>Period</t>
  </si>
  <si>
    <t>Source Status</t>
  </si>
  <si>
    <t>Source Reference</t>
  </si>
  <si>
    <t>Review Note</t>
  </si>
  <si>
    <t>Funded debt</t>
  </si>
  <si>
    <t>Period end</t>
  </si>
  <si>
    <t>Tied</t>
  </si>
  <si>
    <t>Debt rollforward 2026-Q2</t>
  </si>
  <si>
    <t>Includes revolver and term debt</t>
  </si>
  <si>
    <t>Unrestricted cash</t>
  </si>
  <si>
    <t>Bank reconciliation 2026-06</t>
  </si>
  <si>
    <t>Excludes restricted payroll cash</t>
  </si>
  <si>
    <t>Revolver availability</t>
  </si>
  <si>
    <t>Borrowing base 2026-06</t>
  </si>
  <si>
    <t>Eligible unused availability</t>
  </si>
  <si>
    <t>Reported EBITDA</t>
  </si>
  <si>
    <t>Trailing 12 months</t>
  </si>
  <si>
    <t>Consolidated P&amp;L 2026-Q2</t>
  </si>
  <si>
    <t>Before permitted add-backs</t>
  </si>
  <si>
    <t>Permitted add-backs</t>
  </si>
  <si>
    <t>Reviewed</t>
  </si>
  <si>
    <t>Add-back schedule 2026-Q2</t>
  </si>
  <si>
    <t>Integration and restructuring costs</t>
  </si>
  <si>
    <t>Cash interest expense</t>
  </si>
  <si>
    <t>Interest rollforward 2026-Q2</t>
  </si>
  <si>
    <t>Cash paid and accrued per agreement</t>
  </si>
  <si>
    <t>Scheduled principal</t>
  </si>
  <si>
    <t>Next 12 months</t>
  </si>
  <si>
    <t>Debt schedule 2026-Q2</t>
  </si>
  <si>
    <t>Required amortization</t>
  </si>
  <si>
    <t>Unfinanced capital expenditures</t>
  </si>
  <si>
    <t>Fixed asset rollforward 2026-Q2</t>
  </si>
  <si>
    <t>Excludes financed purchases</t>
  </si>
  <si>
    <t>Cash taxes</t>
  </si>
  <si>
    <t>Tax payment schedule 2026-Q2</t>
  </si>
  <si>
    <t>Cash taxes paid</t>
  </si>
  <si>
    <t>Restricted payments</t>
  </si>
  <si>
    <t>Equity ledger 2026-Q2</t>
  </si>
  <si>
    <t>Distributions included by agreement</t>
  </si>
  <si>
    <t>Intercompany eliminations</t>
  </si>
  <si>
    <t>Consolidation workpaper 2026-Q2</t>
  </si>
  <si>
    <t>No net impact after elimination</t>
  </si>
  <si>
    <t>Covenant Tests and Headroom</t>
  </si>
  <si>
    <t>Formula-driven results. Warning means the covenant passes but remaining headroom is below the internal warning band.</t>
  </si>
  <si>
    <t>Covenant</t>
  </si>
  <si>
    <t>Calculation</t>
  </si>
  <si>
    <t>Actual</t>
  </si>
  <si>
    <t>Threshold</t>
  </si>
  <si>
    <t>Headroom</t>
  </si>
  <si>
    <t>Headroom %</t>
  </si>
  <si>
    <t>Status</t>
  </si>
  <si>
    <t>Net Leverage</t>
  </si>
  <si>
    <t>(Debt - permitted cash) / Adjusted EBITDA</t>
  </si>
  <si>
    <t>Review downside sensitivity before certificate</t>
  </si>
  <si>
    <t>Interest Coverage</t>
  </si>
  <si>
    <t>Adjusted EBITDA / Cash interest</t>
  </si>
  <si>
    <t/>
  </si>
  <si>
    <t>Fixed Charge Coverage</t>
  </si>
  <si>
    <t>(EBITDA - capex - taxes - distributions) / fixed charges</t>
  </si>
  <si>
    <t>Unrestricted cash + revolver availability</t>
  </si>
  <si>
    <t>Supporting calculations</t>
  </si>
  <si>
    <t>Adjusted EBITDA</t>
  </si>
  <si>
    <t>Cash permitted to net</t>
  </si>
  <si>
    <t>Net debt</t>
  </si>
  <si>
    <t>Fixed charge numerator</t>
  </si>
  <si>
    <t>Fixed charge denominator</t>
  </si>
  <si>
    <t>Forward Covenant Headroom</t>
  </si>
  <si>
    <t>Edit blue assumption cells to test the next reporting period. These cases do not replace a full forecast.</t>
  </si>
  <si>
    <t>Scenario</t>
  </si>
  <si>
    <t>EBITDA Change</t>
  </si>
  <si>
    <t>Debt Change</t>
  </si>
  <si>
    <t>Interest Change</t>
  </si>
  <si>
    <t>Liquidity Change</t>
  </si>
  <si>
    <t>Overall Status</t>
  </si>
  <si>
    <t>Base Case</t>
  </si>
  <si>
    <t>10 Percent EBITDA Downside</t>
  </si>
  <si>
    <t>20 Percent EBITDA Downside</t>
  </si>
  <si>
    <t>Management Case</t>
  </si>
  <si>
    <t>Debt Covenant Compliance Summary</t>
  </si>
  <si>
    <t>Prepared from agreement-specific definitions and controlled financial inputs</t>
  </si>
  <si>
    <t>Period End</t>
  </si>
  <si>
    <t>Prepared By</t>
  </si>
  <si>
    <t>Taylor Morgan</t>
  </si>
  <si>
    <t>Covenant results</t>
  </si>
  <si>
    <t>Evidence Status</t>
  </si>
  <si>
    <t>Reviewer Note</t>
  </si>
  <si>
    <t>7.11(a)</t>
  </si>
  <si>
    <t>Complete</t>
  </si>
  <si>
    <t>Downside case required</t>
  </si>
  <si>
    <t>7.11(b)</t>
  </si>
  <si>
    <t>7.11(c)</t>
  </si>
  <si>
    <t>7.11(d)</t>
  </si>
  <si>
    <t>Forecast alert</t>
  </si>
  <si>
    <t>Downside case</t>
  </si>
  <si>
    <t>Projected leverage</t>
  </si>
  <si>
    <t>Projected coverage</t>
  </si>
  <si>
    <t>Projected liquidity</t>
  </si>
  <si>
    <t>Required action</t>
  </si>
  <si>
    <t>Escalate before certificate delivery</t>
  </si>
  <si>
    <t>Review and sign-off</t>
  </si>
  <si>
    <t>Preparation Date</t>
  </si>
  <si>
    <t>Reviewed By</t>
  </si>
  <si>
    <t>Review Date</t>
  </si>
  <si>
    <t>Reviewer conclusion: Passing at the testing date with limited net leverage headroom. Resolve the downside alert, confirm add-back support, and use the lender's required certificate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</si>
</sst>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 d, yyyy"/>
    <numFmt numFmtId="165" formatCode="0.00x"/>
    <numFmt numFmtId="166" formatCode="$#,##0;[Red]($#,##0);-"/>
    <numFmt numFmtId="167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i/>
      <color rgb="FF6B7280"/>
    </font>
    <font>
      <b/>
      <color rgb="FFFFFFFF"/>
      <sz val="11"/>
      <name val="Aptos"/>
    </font>
    <font>
      <b/>
    </font>
    <font>
      <b/>
      <color rgb="FFB45309"/>
    </font>
    <font>
      <b/>
      <color rgb="FFFFFFFF"/>
      <sz val="10"/>
      <name val="Aptos"/>
    </font>
    <font>
      <color rgb="FF0000FF"/>
      <sz val="10"/>
      <name val="Aptos"/>
    </font>
    <font>
      <color rgb="FF111827"/>
    </font>
    <font>
      <b/>
      <color rgb="FFB45309"/>
      <sz val="10"/>
      <name val="Aptos"/>
    </font>
    <font>
      <color rgb="FF0000FF"/>
    </font>
    <font>
      <b/>
      <color rgb="FF047857"/>
      <sz val="10"/>
      <name val="Aptos"/>
    </font>
    <font>
      <b/>
      <color rgb="FFB91C1C"/>
      <sz val="10"/>
      <name val="Aptos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2563EB"/>
      </patternFill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rgb="FFEFF6FF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vertical="center"/>
    </xf>
    <xf numFmtId="0" fontId="4" fillId="0" borderId="0" xfId="0" applyFont="1"/>
    <xf numFmtId="0" fontId="0" fillId="0" borderId="1" xfId="0" applyBorder="1"/>
    <xf numFmtId="0" fontId="5" fillId="5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6" borderId="1" xfId="0" applyFont="1" applyFill="1" applyBorder="1"/>
    <xf numFmtId="164" fontId="7" fillId="6" borderId="1" xfId="0" applyNumberFormat="1" applyFont="1" applyFill="1" applyBorder="1"/>
    <xf numFmtId="0" fontId="7" fillId="6" borderId="1" xfId="0" applyFont="1" applyFill="1" applyBorder="1" applyAlignment="1">
      <alignment wrapText="1"/>
    </xf>
    <xf numFmtId="165" fontId="7" fillId="6" borderId="1" xfId="0" applyNumberFormat="1" applyFont="1" applyFill="1" applyBorder="1"/>
    <xf numFmtId="166" fontId="7" fillId="6" borderId="1" xfId="0" applyNumberFormat="1" applyFont="1" applyFill="1" applyBorder="1"/>
    <xf numFmtId="9" fontId="7" fillId="6" borderId="1" xfId="0" applyNumberFormat="1" applyFont="1" applyFill="1" applyBorder="1"/>
    <xf numFmtId="0" fontId="0" fillId="0" borderId="0" xfId="0" applyAlignment="1">
      <alignment wrapText="1"/>
    </xf>
    <xf numFmtId="165" fontId="8" fillId="0" borderId="0" xfId="0" applyNumberFormat="1" applyFont="1"/>
    <xf numFmtId="167" fontId="0" fillId="0" borderId="0" xfId="0" applyNumberFormat="1"/>
    <xf numFmtId="0" fontId="9" fillId="5" borderId="0" xfId="0" applyFont="1" applyFill="1" applyAlignment="1">
      <alignment horizontal="center"/>
    </xf>
    <xf numFmtId="0" fontId="10" fillId="6" borderId="0" xfId="0" applyFont="1" applyFill="1"/>
    <xf numFmtId="0" fontId="11" fillId="7" borderId="0" xfId="0" applyFont="1" applyFill="1" applyAlignment="1">
      <alignment horizontal="center"/>
    </xf>
    <xf numFmtId="166" fontId="8" fillId="0" borderId="0" xfId="0" applyNumberFormat="1" applyFont="1"/>
    <xf numFmtId="166" fontId="0" fillId="0" borderId="0" xfId="0" applyNumberFormat="1"/>
    <xf numFmtId="165" fontId="0" fillId="0" borderId="0" xfId="0" applyNumberFormat="1"/>
    <xf numFmtId="0" fontId="12" fillId="8" borderId="0" xfId="0" applyFont="1" applyFill="1" applyAlignment="1">
      <alignment horizontal="center"/>
    </xf>
    <xf numFmtId="164" fontId="0" fillId="0" borderId="0" xfId="0" applyNumberFormat="1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20" outlineLevelRow="0" outlineLevelCol="0" x14ac:dyDescent="55" customHeight="1"/>
  <cols>
    <col min="1" max="2" width="27" customWidth="1"/>
    <col min="3" max="8" width="20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6" ht="25" customHeight="1" spans="1:8" x14ac:dyDescent="0.25">
      <c r="A6" s="3" t="s">
        <v>2</v>
      </c>
      <c r="B6" s="3"/>
      <c r="C6" s="3"/>
      <c r="D6" s="3"/>
      <c r="E6" s="3"/>
      <c r="F6" s="3"/>
      <c r="G6" s="3"/>
      <c r="H6" s="3"/>
    </row>
    <row r="7" ht="32" customHeight="1" spans="1:8" x14ac:dyDescent="0.25">
      <c r="A7" s="4" t="s">
        <v>3</v>
      </c>
      <c r="B7" s="4"/>
      <c r="C7" s="4"/>
      <c r="D7" s="4"/>
      <c r="E7" s="4"/>
      <c r="F7" s="4"/>
      <c r="G7" s="4"/>
      <c r="H7" s="4"/>
    </row>
    <row r="8" ht="32" customHeight="1" spans="1:8" x14ac:dyDescent="0.25">
      <c r="A8" s="4" t="s">
        <v>4</v>
      </c>
      <c r="B8" s="4"/>
      <c r="C8" s="4"/>
      <c r="D8" s="4"/>
      <c r="E8" s="4"/>
      <c r="F8" s="4"/>
      <c r="G8" s="4"/>
      <c r="H8" s="4"/>
    </row>
    <row r="9" ht="32" customHeight="1" spans="1:8" x14ac:dyDescent="0.25">
      <c r="A9" s="4" t="s">
        <v>5</v>
      </c>
      <c r="B9" s="4"/>
      <c r="C9" s="4"/>
      <c r="D9" s="4"/>
      <c r="E9" s="4"/>
      <c r="F9" s="4"/>
      <c r="G9" s="4"/>
      <c r="H9" s="4"/>
    </row>
    <row r="10" ht="32" customHeight="1" spans="1:8" x14ac:dyDescent="0.25">
      <c r="A10" s="4" t="s">
        <v>6</v>
      </c>
      <c r="B10" s="4"/>
      <c r="C10" s="4"/>
      <c r="D10" s="4"/>
      <c r="E10" s="4"/>
      <c r="F10" s="4"/>
      <c r="G10" s="4"/>
      <c r="H10" s="4"/>
    </row>
    <row r="11" ht="32" customHeight="1" spans="1:8" x14ac:dyDescent="0.25">
      <c r="A11" s="4" t="s">
        <v>7</v>
      </c>
      <c r="B11" s="4"/>
      <c r="C11" s="4"/>
      <c r="D11" s="4"/>
      <c r="E11" s="4"/>
      <c r="F11" s="4"/>
      <c r="G11" s="4"/>
      <c r="H11" s="4"/>
    </row>
    <row r="14" ht="25" customHeight="1" spans="1:8" x14ac:dyDescent="0.25">
      <c r="A14" s="5" t="s">
        <v>8</v>
      </c>
      <c r="B14" s="5"/>
      <c r="C14" s="5"/>
      <c r="D14" s="5"/>
      <c r="E14" s="5"/>
      <c r="F14" s="5"/>
      <c r="G14" s="5"/>
      <c r="H14" s="5"/>
    </row>
    <row r="15" spans="1:2" x14ac:dyDescent="0.25">
      <c r="A15" s="6" t="s">
        <v>9</v>
      </c>
      <c r="B15" s="7" t="s">
        <v>10</v>
      </c>
    </row>
    <row r="16" spans="1:2" x14ac:dyDescent="0.25">
      <c r="A16" s="6" t="s">
        <v>11</v>
      </c>
      <c r="B16" s="7" t="s">
        <v>12</v>
      </c>
    </row>
    <row r="17" spans="1:2" x14ac:dyDescent="0.25">
      <c r="A17" s="6" t="s">
        <v>13</v>
      </c>
      <c r="B17" s="7" t="s">
        <v>14</v>
      </c>
    </row>
    <row r="18" spans="1:2" x14ac:dyDescent="0.25">
      <c r="A18" s="6" t="s">
        <v>15</v>
      </c>
      <c r="B18" s="7" t="s">
        <v>16</v>
      </c>
    </row>
    <row r="19" spans="1:2" x14ac:dyDescent="0.25">
      <c r="A19" s="6" t="s">
        <v>17</v>
      </c>
      <c r="B19" s="7" t="s">
        <v>18</v>
      </c>
    </row>
    <row r="22" spans="1:8" x14ac:dyDescent="0.25">
      <c r="A22" s="8" t="s">
        <v>19</v>
      </c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</sheetData>
  <mergeCells count="10">
    <mergeCell ref="A1:H2"/>
    <mergeCell ref="A4:H4"/>
    <mergeCell ref="A6:H6"/>
    <mergeCell ref="A7:H7"/>
    <mergeCell ref="A8:H8"/>
    <mergeCell ref="A9:H9"/>
    <mergeCell ref="A10:H10"/>
    <mergeCell ref="A11:H11"/>
    <mergeCell ref="A14:H14"/>
    <mergeCell ref="A22:H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showGridLines="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28" customWidth="1"/>
    <col min="2" max="2" width="24" customWidth="1"/>
    <col min="3" max="4" width="18" customWidth="1"/>
    <col min="5" max="5" width="24" customWidth="1"/>
    <col min="6" max="6" width="36" customWidth="1"/>
  </cols>
  <sheetData>
    <row r="1" ht="30" customHeight="1" spans="1:6" x14ac:dyDescent="0.25">
      <c r="A1" s="1" t="s">
        <v>20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6" x14ac:dyDescent="0.25">
      <c r="A4" s="2" t="s">
        <v>21</v>
      </c>
      <c r="B4" s="2"/>
      <c r="C4" s="2"/>
      <c r="D4" s="2"/>
      <c r="E4" s="2"/>
      <c r="F4" s="2"/>
    </row>
    <row r="6" ht="34" customHeight="1" spans="1:6" x14ac:dyDescent="0.25">
      <c r="A6" s="9" t="s">
        <v>22</v>
      </c>
      <c r="B6" s="9" t="s">
        <v>23</v>
      </c>
      <c r="C6" s="9" t="s">
        <v>24</v>
      </c>
      <c r="D6" s="9" t="s">
        <v>25</v>
      </c>
      <c r="E6" s="9" t="s">
        <v>26</v>
      </c>
      <c r="F6" s="9" t="s">
        <v>27</v>
      </c>
    </row>
    <row r="7" spans="1:6" x14ac:dyDescent="0.25">
      <c r="A7" t="s">
        <v>28</v>
      </c>
      <c r="B7" s="10" t="s">
        <v>29</v>
      </c>
      <c r="C7" t="s">
        <v>30</v>
      </c>
      <c r="D7" s="11">
        <v>46023</v>
      </c>
      <c r="E7" s="10" t="s">
        <v>31</v>
      </c>
      <c r="F7" s="12" t="s">
        <v>32</v>
      </c>
    </row>
    <row r="8" spans="1:6" x14ac:dyDescent="0.25">
      <c r="A8" t="s">
        <v>33</v>
      </c>
      <c r="B8" s="13">
        <v>46203</v>
      </c>
      <c r="C8" t="s">
        <v>34</v>
      </c>
      <c r="D8" s="11">
        <v>46023</v>
      </c>
      <c r="E8" s="10" t="s">
        <v>35</v>
      </c>
      <c r="F8" s="12" t="s">
        <v>36</v>
      </c>
    </row>
    <row r="9" spans="1:6" x14ac:dyDescent="0.25">
      <c r="A9" t="s">
        <v>37</v>
      </c>
      <c r="B9" s="13">
        <v>3.5</v>
      </c>
      <c r="C9" t="s">
        <v>38</v>
      </c>
      <c r="D9" s="11">
        <v>46023</v>
      </c>
      <c r="E9" s="10" t="s">
        <v>39</v>
      </c>
      <c r="F9" s="12" t="s">
        <v>40</v>
      </c>
    </row>
    <row r="10" spans="1:6" x14ac:dyDescent="0.25">
      <c r="A10" t="s">
        <v>41</v>
      </c>
      <c r="B10" s="13">
        <v>3</v>
      </c>
      <c r="C10" t="s">
        <v>38</v>
      </c>
      <c r="D10" s="11">
        <v>46023</v>
      </c>
      <c r="E10" s="10" t="s">
        <v>42</v>
      </c>
      <c r="F10" s="12" t="s">
        <v>43</v>
      </c>
    </row>
    <row r="11" spans="1:6" x14ac:dyDescent="0.25">
      <c r="A11" t="s">
        <v>44</v>
      </c>
      <c r="B11" s="14">
        <v>1.25</v>
      </c>
      <c r="C11" t="s">
        <v>38</v>
      </c>
      <c r="D11" s="11">
        <v>46023</v>
      </c>
      <c r="E11" s="10" t="s">
        <v>45</v>
      </c>
      <c r="F11" s="12" t="s">
        <v>46</v>
      </c>
    </row>
    <row r="12" spans="1:6" x14ac:dyDescent="0.25">
      <c r="A12" t="s">
        <v>47</v>
      </c>
      <c r="B12" s="14">
        <v>500000</v>
      </c>
      <c r="C12" t="s">
        <v>48</v>
      </c>
      <c r="D12" s="11">
        <v>46023</v>
      </c>
      <c r="E12" s="10" t="s">
        <v>49</v>
      </c>
      <c r="F12" s="12" t="s">
        <v>50</v>
      </c>
    </row>
    <row r="13" spans="1:6" x14ac:dyDescent="0.25">
      <c r="A13" t="s">
        <v>51</v>
      </c>
      <c r="B13" s="15">
        <v>1000000</v>
      </c>
      <c r="C13" t="s">
        <v>48</v>
      </c>
      <c r="D13" s="11">
        <v>46023</v>
      </c>
      <c r="E13" s="10" t="s">
        <v>52</v>
      </c>
      <c r="F13" s="12" t="s">
        <v>53</v>
      </c>
    </row>
    <row r="14" spans="1:6" x14ac:dyDescent="0.25">
      <c r="A14" t="s">
        <v>54</v>
      </c>
      <c r="B14" s="10">
        <v>0.15</v>
      </c>
      <c r="C14" t="s">
        <v>55</v>
      </c>
      <c r="D14" s="11">
        <v>46023</v>
      </c>
      <c r="E14" s="10" t="s">
        <v>56</v>
      </c>
      <c r="F14" s="12" t="s">
        <v>57</v>
      </c>
    </row>
    <row r="15" spans="1:6" x14ac:dyDescent="0.25">
      <c r="A15" t="s">
        <v>58</v>
      </c>
      <c r="B15" s="10" t="s">
        <v>59</v>
      </c>
      <c r="C15" t="s">
        <v>60</v>
      </c>
      <c r="D15" s="11">
        <v>46023</v>
      </c>
      <c r="E15" s="10" t="s">
        <v>61</v>
      </c>
      <c r="F15" s="12" t="s">
        <v>62</v>
      </c>
    </row>
    <row r="16" spans="1:6" x14ac:dyDescent="0.25">
      <c r="A16" t="s">
        <v>48</v>
      </c>
      <c r="B16" s="10" t="s">
        <v>63</v>
      </c>
      <c r="C16" t="s">
        <v>30</v>
      </c>
      <c r="D16" s="11">
        <v>46023</v>
      </c>
      <c r="E16" s="10" t="s">
        <v>64</v>
      </c>
      <c r="F16" s="12" t="s">
        <v>65</v>
      </c>
    </row>
  </sheetData>
  <autoFilter ref="A6:F16"/>
  <mergeCells count="2">
    <mergeCell ref="A1:F2"/>
    <mergeCell ref="A4:F4"/>
  </mergeCells>
  <dataValidations count="1">
    <dataValidation type="list" sqref="B1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20" customWidth="1"/>
    <col min="3" max="3" width="18" customWidth="1"/>
    <col min="4" max="4" width="20" customWidth="1"/>
    <col min="5" max="6" width="34" customWidth="1"/>
  </cols>
  <sheetData>
    <row r="1" ht="30" customHeight="1" spans="1:6" x14ac:dyDescent="0.25">
      <c r="A1" s="1" t="s">
        <v>66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4" spans="1:6" x14ac:dyDescent="0.25">
      <c r="A4" s="2" t="s">
        <v>67</v>
      </c>
      <c r="B4" s="2"/>
      <c r="C4" s="2"/>
      <c r="D4" s="2"/>
      <c r="E4" s="2"/>
      <c r="F4" s="2"/>
    </row>
    <row r="6" ht="34" customHeight="1" spans="1:6" x14ac:dyDescent="0.25">
      <c r="A6" s="9" t="s">
        <v>68</v>
      </c>
      <c r="B6" s="9" t="s">
        <v>69</v>
      </c>
      <c r="C6" s="9" t="s">
        <v>70</v>
      </c>
      <c r="D6" s="9" t="s">
        <v>71</v>
      </c>
      <c r="E6" s="9" t="s">
        <v>72</v>
      </c>
      <c r="F6" s="9" t="s">
        <v>73</v>
      </c>
    </row>
    <row r="7" spans="1:6" x14ac:dyDescent="0.25">
      <c r="A7" t="s">
        <v>74</v>
      </c>
      <c r="B7" s="14">
        <v>5400000</v>
      </c>
      <c r="C7" s="10" t="s">
        <v>75</v>
      </c>
      <c r="D7" s="10" t="s">
        <v>76</v>
      </c>
      <c r="E7" s="10" t="s">
        <v>77</v>
      </c>
      <c r="F7" s="12" t="s">
        <v>78</v>
      </c>
    </row>
    <row r="8" spans="1:6" x14ac:dyDescent="0.25">
      <c r="A8" t="s">
        <v>79</v>
      </c>
      <c r="B8" s="14">
        <v>600000</v>
      </c>
      <c r="C8" s="10" t="s">
        <v>75</v>
      </c>
      <c r="D8" s="10" t="s">
        <v>76</v>
      </c>
      <c r="E8" s="10" t="s">
        <v>80</v>
      </c>
      <c r="F8" s="12" t="s">
        <v>81</v>
      </c>
    </row>
    <row r="9" spans="1:6" x14ac:dyDescent="0.25">
      <c r="A9" t="s">
        <v>82</v>
      </c>
      <c r="B9" s="14">
        <v>250000</v>
      </c>
      <c r="C9" s="10" t="s">
        <v>75</v>
      </c>
      <c r="D9" s="10" t="s">
        <v>76</v>
      </c>
      <c r="E9" s="10" t="s">
        <v>83</v>
      </c>
      <c r="F9" s="12" t="s">
        <v>84</v>
      </c>
    </row>
    <row r="10" spans="1:6" x14ac:dyDescent="0.25">
      <c r="A10" t="s">
        <v>85</v>
      </c>
      <c r="B10" s="14">
        <v>1400000</v>
      </c>
      <c r="C10" s="10" t="s">
        <v>86</v>
      </c>
      <c r="D10" s="10" t="s">
        <v>76</v>
      </c>
      <c r="E10" s="10" t="s">
        <v>87</v>
      </c>
      <c r="F10" s="12" t="s">
        <v>88</v>
      </c>
    </row>
    <row r="11" spans="1:6" x14ac:dyDescent="0.25">
      <c r="A11" t="s">
        <v>89</v>
      </c>
      <c r="B11" s="14">
        <v>200000</v>
      </c>
      <c r="C11" s="10" t="s">
        <v>86</v>
      </c>
      <c r="D11" s="10" t="s">
        <v>90</v>
      </c>
      <c r="E11" s="10" t="s">
        <v>91</v>
      </c>
      <c r="F11" s="12" t="s">
        <v>92</v>
      </c>
    </row>
    <row r="12" spans="1:6" x14ac:dyDescent="0.25">
      <c r="A12" t="s">
        <v>93</v>
      </c>
      <c r="B12" s="14">
        <v>400000</v>
      </c>
      <c r="C12" s="10" t="s">
        <v>86</v>
      </c>
      <c r="D12" s="10" t="s">
        <v>76</v>
      </c>
      <c r="E12" s="10" t="s">
        <v>94</v>
      </c>
      <c r="F12" s="12" t="s">
        <v>95</v>
      </c>
    </row>
    <row r="13" spans="1:6" x14ac:dyDescent="0.25">
      <c r="A13" t="s">
        <v>96</v>
      </c>
      <c r="B13" s="14">
        <v>350000</v>
      </c>
      <c r="C13" s="10" t="s">
        <v>97</v>
      </c>
      <c r="D13" s="10" t="s">
        <v>76</v>
      </c>
      <c r="E13" s="10" t="s">
        <v>98</v>
      </c>
      <c r="F13" s="12" t="s">
        <v>99</v>
      </c>
    </row>
    <row r="14" spans="1:6" x14ac:dyDescent="0.25">
      <c r="A14" t="s">
        <v>100</v>
      </c>
      <c r="B14" s="14">
        <v>200000</v>
      </c>
      <c r="C14" s="10" t="s">
        <v>86</v>
      </c>
      <c r="D14" s="10" t="s">
        <v>76</v>
      </c>
      <c r="E14" s="10" t="s">
        <v>101</v>
      </c>
      <c r="F14" s="12" t="s">
        <v>102</v>
      </c>
    </row>
    <row r="15" spans="1:6" x14ac:dyDescent="0.25">
      <c r="A15" t="s">
        <v>103</v>
      </c>
      <c r="B15" s="14">
        <v>150000</v>
      </c>
      <c r="C15" s="10" t="s">
        <v>86</v>
      </c>
      <c r="D15" s="10" t="s">
        <v>76</v>
      </c>
      <c r="E15" s="10" t="s">
        <v>104</v>
      </c>
      <c r="F15" s="12" t="s">
        <v>105</v>
      </c>
    </row>
    <row r="16" spans="1:6" x14ac:dyDescent="0.25">
      <c r="A16" t="s">
        <v>106</v>
      </c>
      <c r="B16" s="14">
        <v>50000</v>
      </c>
      <c r="C16" s="10" t="s">
        <v>86</v>
      </c>
      <c r="D16" s="10" t="s">
        <v>90</v>
      </c>
      <c r="E16" s="10" t="s">
        <v>107</v>
      </c>
      <c r="F16" s="12" t="s">
        <v>108</v>
      </c>
    </row>
    <row r="17" spans="1:6" x14ac:dyDescent="0.25">
      <c r="A17" t="s">
        <v>109</v>
      </c>
      <c r="B17" s="14">
        <v>0</v>
      </c>
      <c r="C17" s="10" t="s">
        <v>86</v>
      </c>
      <c r="D17" s="10" t="s">
        <v>76</v>
      </c>
      <c r="E17" s="10" t="s">
        <v>110</v>
      </c>
      <c r="F17" s="12" t="s">
        <v>111</v>
      </c>
    </row>
  </sheetData>
  <autoFilter ref="A6:F17"/>
  <mergeCells count="2">
    <mergeCell ref="A1:F2"/>
    <mergeCell ref="A4:F4"/>
  </mergeCells>
  <dataValidations count="2">
    <dataValidation type="list" sqref="D10:D17">
      <formula1>"Tied,Reviewed,Missing"</formula1>
    </dataValidation>
    <dataValidation type="list" sqref="D7:D17">
      <formula1>"Tied,Reviewed,Missing"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/>
  </sheetViews>
  <sheetFormatPr defaultRowHeight="20" outlineLevelRow="0" outlineLevelCol="0" x14ac:dyDescent="55" customHeight="1"/>
  <cols>
    <col min="1" max="1" width="28" customWidth="1"/>
    <col min="2" max="2" width="23" customWidth="1"/>
    <col min="3" max="7" width="18" customWidth="1"/>
    <col min="8" max="8" width="30" customWidth="1"/>
  </cols>
  <sheetData>
    <row r="1" ht="30" customHeight="1" spans="1:8" x14ac:dyDescent="0.25">
      <c r="A1" s="1" t="s">
        <v>112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113</v>
      </c>
      <c r="B4" s="2"/>
      <c r="C4" s="2"/>
      <c r="D4" s="2"/>
      <c r="E4" s="2"/>
      <c r="F4" s="2"/>
      <c r="G4" s="2"/>
      <c r="H4" s="2"/>
    </row>
    <row r="6" ht="34" customHeight="1" spans="1:8" x14ac:dyDescent="0.25">
      <c r="A6" s="9" t="s">
        <v>114</v>
      </c>
      <c r="B6" s="9" t="s">
        <v>115</v>
      </c>
      <c r="C6" s="9" t="s">
        <v>116</v>
      </c>
      <c r="D6" s="9" t="s">
        <v>117</v>
      </c>
      <c r="E6" s="9" t="s">
        <v>118</v>
      </c>
      <c r="F6" s="9" t="s">
        <v>119</v>
      </c>
      <c r="G6" s="9" t="s">
        <v>120</v>
      </c>
      <c r="H6" s="9" t="s">
        <v>73</v>
      </c>
    </row>
    <row r="7" spans="1:8" x14ac:dyDescent="0.25">
      <c r="A7" t="s">
        <v>121</v>
      </c>
      <c r="B7" s="16" t="s">
        <v>122</v>
      </c>
      <c r="C7" s="17">
        <f>('Financial Inputs'!B7-MIN('Financial Inputs'!B8,'Agreement Terms'!B12))/('Financial Inputs'!B10+'Financial Inputs'!B11)</f>
        <v>3</v>
      </c>
      <c r="D7" s="17">
        <f>'Agreement Terms'!B9</f>
        <v>3.5</v>
      </c>
      <c r="E7" s="17">
        <f>D7-C7</f>
        <v>0.5</v>
      </c>
      <c r="F7" s="18">
        <f>E7/D7</f>
        <v>0.142857</v>
      </c>
      <c r="G7" s="19" t="str">
        <f>IF(C7&gt;D7,"Fail",IF(F7&lt;'Agreement Terms'!B13,"Warning","Pass"))</f>
        <v>Warning</v>
      </c>
      <c r="H7" s="20" t="s">
        <v>123</v>
      </c>
    </row>
    <row r="8" spans="1:8" x14ac:dyDescent="0.25">
      <c r="A8" t="s">
        <v>124</v>
      </c>
      <c r="B8" s="16" t="s">
        <v>125</v>
      </c>
      <c r="C8" s="17">
        <f>('Financial Inputs'!B10+'Financial Inputs'!B11)/'Financial Inputs'!B12</f>
        <v>4</v>
      </c>
      <c r="D8" s="17">
        <f>'Agreement Terms'!B10</f>
        <v>3</v>
      </c>
      <c r="E8" s="17">
        <f>C8-D8</f>
        <v>1</v>
      </c>
      <c r="F8" s="18">
        <f>E8/D8</f>
        <v>0.333333</v>
      </c>
      <c r="G8" s="21" t="str">
        <f>IF(C8&lt;D8,"Fail",IF(F8&lt;'Agreement Terms'!B13,"Warning","Pass"))</f>
        <v>Pass</v>
      </c>
      <c r="H8" s="20" t="s">
        <v>126</v>
      </c>
    </row>
    <row r="9" spans="1:8" x14ac:dyDescent="0.25">
      <c r="A9" t="s">
        <v>127</v>
      </c>
      <c r="B9" s="16" t="s">
        <v>128</v>
      </c>
      <c r="C9" s="17">
        <f>(('Financial Inputs'!B10+'Financial Inputs'!B11)-'Financial Inputs'!B14-'Financial Inputs'!B15-'Financial Inputs'!B16)/('Financial Inputs'!B12+'Financial Inputs'!B13)</f>
        <v>1.6</v>
      </c>
      <c r="D9" s="17">
        <f>'Agreement Terms'!B11</f>
        <v>1.25</v>
      </c>
      <c r="E9" s="17">
        <f>C9-D9</f>
        <v>0.35</v>
      </c>
      <c r="F9" s="18">
        <f>E9/D9</f>
        <v>0.28</v>
      </c>
      <c r="G9" s="21" t="str">
        <f>IF(C9&lt;D9,"Fail",IF(F9&lt;'Agreement Terms'!B13,"Warning","Pass"))</f>
        <v>Pass</v>
      </c>
      <c r="H9" s="20" t="s">
        <v>126</v>
      </c>
    </row>
    <row r="10" spans="1:8" x14ac:dyDescent="0.25">
      <c r="A10" t="s">
        <v>47</v>
      </c>
      <c r="B10" s="16" t="s">
        <v>129</v>
      </c>
      <c r="C10" s="22">
        <f>'Financial Inputs'!B8+'Financial Inputs'!B9</f>
        <v>850000</v>
      </c>
      <c r="D10" s="22">
        <f>'Agreement Terms'!B12</f>
        <v>500000</v>
      </c>
      <c r="E10" s="22">
        <f>C10-D10</f>
        <v>350000</v>
      </c>
      <c r="F10" s="18">
        <f>E10/D10</f>
        <v>0.7</v>
      </c>
      <c r="G10" s="21" t="str">
        <f>IF(C10&lt;D10,"Fail",IF(F10&lt;'Agreement Terms'!B13,"Warning","Pass"))</f>
        <v>Pass</v>
      </c>
      <c r="H10" s="20" t="s">
        <v>126</v>
      </c>
    </row>
    <row r="13" ht="25" customHeight="1" spans="1:8" x14ac:dyDescent="0.25">
      <c r="A13" s="5" t="s">
        <v>130</v>
      </c>
      <c r="B13" s="5"/>
      <c r="C13" s="5"/>
      <c r="D13" s="5"/>
      <c r="E13" s="5"/>
      <c r="F13" s="5"/>
      <c r="G13" s="5"/>
      <c r="H13" s="5"/>
    </row>
    <row r="14" spans="1:2" x14ac:dyDescent="0.25">
      <c r="A14" t="s">
        <v>131</v>
      </c>
      <c r="B14" s="23">
        <f>'Financial Inputs'!B10+'Financial Inputs'!B11</f>
        <v>1600000</v>
      </c>
    </row>
    <row r="15" spans="1:2" x14ac:dyDescent="0.25">
      <c r="A15" t="s">
        <v>132</v>
      </c>
      <c r="B15" s="23">
        <f>MIN('Financial Inputs'!B8,'Agreement Terms'!B12)</f>
        <v>600000</v>
      </c>
    </row>
    <row r="16" spans="1:2" x14ac:dyDescent="0.25">
      <c r="A16" t="s">
        <v>133</v>
      </c>
      <c r="B16" s="23">
        <f>'Financial Inputs'!B7-B15</f>
        <v>4800000</v>
      </c>
    </row>
    <row r="17" spans="1:2" x14ac:dyDescent="0.25">
      <c r="A17" t="s">
        <v>134</v>
      </c>
      <c r="B17" s="23">
        <f>B14-'Financial Inputs'!B14-'Financial Inputs'!B15-'Financial Inputs'!B16</f>
        <v>1200000</v>
      </c>
    </row>
    <row r="18" spans="1:2" x14ac:dyDescent="0.25">
      <c r="A18" t="s">
        <v>135</v>
      </c>
      <c r="B18" s="23">
        <f>'Financial Inputs'!B12+'Financial Inputs'!B13</f>
        <v>750000</v>
      </c>
    </row>
  </sheetData>
  <mergeCells count="3">
    <mergeCell ref="A1:H2"/>
    <mergeCell ref="A4:H4"/>
    <mergeCell ref="A13:H13"/>
  </mergeCells>
  <pageSetup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 showGridLines="0">
      <pane ySplit="6" topLeftCell="A7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8" width="18" customWidth="1"/>
  </cols>
  <sheetData>
    <row r="1" ht="30" customHeight="1" spans="1:8" x14ac:dyDescent="0.25">
      <c r="A1" s="1" t="s">
        <v>136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137</v>
      </c>
      <c r="B4" s="2"/>
      <c r="C4" s="2"/>
      <c r="D4" s="2"/>
      <c r="E4" s="2"/>
      <c r="F4" s="2"/>
      <c r="G4" s="2"/>
      <c r="H4" s="2"/>
    </row>
    <row r="6" ht="34" customHeight="1" spans="1:8" x14ac:dyDescent="0.25">
      <c r="A6" s="9" t="s">
        <v>138</v>
      </c>
      <c r="B6" s="9" t="s">
        <v>139</v>
      </c>
      <c r="C6" s="9" t="s">
        <v>140</v>
      </c>
      <c r="D6" s="9" t="s">
        <v>141</v>
      </c>
      <c r="E6" s="9" t="s">
        <v>142</v>
      </c>
      <c r="F6" s="9" t="s">
        <v>121</v>
      </c>
      <c r="G6" s="9" t="s">
        <v>124</v>
      </c>
      <c r="H6" s="9" t="s">
        <v>143</v>
      </c>
    </row>
    <row r="7" spans="1:8" x14ac:dyDescent="0.25">
      <c r="A7" t="s">
        <v>144</v>
      </c>
      <c r="B7" s="15">
        <v>0</v>
      </c>
      <c r="C7" s="14">
        <v>0</v>
      </c>
      <c r="D7" s="15">
        <v>0</v>
      </c>
      <c r="E7" s="14">
        <v>0</v>
      </c>
      <c r="F7" s="24">
        <f>(('Financial Inputs'!B7+C7)-MIN('Financial Inputs'!B8,'Agreement Terms'!B12))/(('Covenant Tests'!B14)*(1+B7))</f>
        <v>3</v>
      </c>
      <c r="G7" s="24">
        <f>(('Covenant Tests'!B14)*(1+B7))/('Financial Inputs'!B12*(1+D7))</f>
        <v>4</v>
      </c>
      <c r="H7" s="19" t="str">
        <f>IF(OR(F7&gt;'Agreement Terms'!B9,G7&lt;'Agreement Terms'!B10,('Covenant Tests'!C10+E7)&lt;'Agreement Terms'!B12),"Fail",IF(OR(('Agreement Terms'!B9-F7)/'Agreement Terms'!B9&lt;'Agreement Terms'!B13,(G7-'Agreement Terms'!B10)/'Agreement Terms'!B10&lt;'Agreement Terms'!B13),"Warning","Pass"))</f>
        <v>Warning</v>
      </c>
    </row>
    <row r="8" spans="1:8" x14ac:dyDescent="0.25">
      <c r="A8" t="s">
        <v>145</v>
      </c>
      <c r="B8" s="15">
        <v>-0.1</v>
      </c>
      <c r="C8" s="14">
        <v>0</v>
      </c>
      <c r="D8" s="15">
        <v>0.05</v>
      </c>
      <c r="E8" s="14">
        <v>-100000</v>
      </c>
      <c r="F8" s="24">
        <f>(('Financial Inputs'!B7+C8)-MIN('Financial Inputs'!B8,'Agreement Terms'!B12))/(('Covenant Tests'!B14)*(1+B8))</f>
        <v>3.333333</v>
      </c>
      <c r="G8" s="24">
        <f>(('Covenant Tests'!B14)*(1+B8))/('Financial Inputs'!B12*(1+D8))</f>
        <v>3.428571</v>
      </c>
      <c r="H8" s="19" t="str">
        <f>IF(OR(F8&gt;'Agreement Terms'!B9,G8&lt;'Agreement Terms'!B10,('Covenant Tests'!C10+E8)&lt;'Agreement Terms'!B12),"Fail",IF(OR(('Agreement Terms'!B9-F8)/'Agreement Terms'!B9&lt;'Agreement Terms'!B13,(G8-'Agreement Terms'!B10)/'Agreement Terms'!B10&lt;'Agreement Terms'!B13),"Warning","Pass"))</f>
        <v>Warning</v>
      </c>
    </row>
    <row r="9" spans="1:8" x14ac:dyDescent="0.25">
      <c r="A9" t="s">
        <v>146</v>
      </c>
      <c r="B9" s="15">
        <v>-0.2</v>
      </c>
      <c r="C9" s="14">
        <v>250000</v>
      </c>
      <c r="D9" s="15">
        <v>0.1</v>
      </c>
      <c r="E9" s="14">
        <v>-200000</v>
      </c>
      <c r="F9" s="24">
        <f>(('Financial Inputs'!B7+C9)-MIN('Financial Inputs'!B8,'Agreement Terms'!B12))/(('Covenant Tests'!B14)*(1+B9))</f>
        <v>3.945313</v>
      </c>
      <c r="G9" s="24">
        <f>(('Covenant Tests'!B14)*(1+B9))/('Financial Inputs'!B12*(1+D9))</f>
        <v>2.909091</v>
      </c>
      <c r="H9" s="25" t="str">
        <f>IF(OR(F9&gt;'Agreement Terms'!B9,G9&lt;'Agreement Terms'!B10,('Covenant Tests'!C10+E9)&lt;'Agreement Terms'!B12),"Fail",IF(OR(('Agreement Terms'!B9-F9)/'Agreement Terms'!B9&lt;'Agreement Terms'!B13,(G9-'Agreement Terms'!B10)/'Agreement Terms'!B10&lt;'Agreement Terms'!B13),"Warning","Pass"))</f>
        <v>Fail</v>
      </c>
    </row>
    <row r="10" spans="1:8" x14ac:dyDescent="0.25">
      <c r="A10" t="s">
        <v>147</v>
      </c>
      <c r="B10" s="15">
        <v>0.08</v>
      </c>
      <c r="C10" s="14">
        <v>-300000</v>
      </c>
      <c r="D10" s="15">
        <v>-0.05</v>
      </c>
      <c r="E10" s="14">
        <v>100000</v>
      </c>
      <c r="F10" s="24">
        <f>(('Financial Inputs'!B7+C10)-MIN('Financial Inputs'!B8,'Agreement Terms'!B12))/(('Covenant Tests'!B14)*(1+B10))</f>
        <v>2.604167</v>
      </c>
      <c r="G10" s="24">
        <f>(('Covenant Tests'!B14)*(1+B10))/('Financial Inputs'!B12*(1+D10))</f>
        <v>4.547368</v>
      </c>
      <c r="H10" s="21" t="str">
        <f>IF(OR(F10&gt;'Agreement Terms'!B9,G10&lt;'Agreement Terms'!B10,('Covenant Tests'!C10+E10)&lt;'Agreement Terms'!B12),"Fail",IF(OR(('Agreement Terms'!B9-F10)/'Agreement Terms'!B9&lt;'Agreement Terms'!B13,(G10-'Agreement Terms'!B10)/'Agreement Terms'!B10&lt;'Agreement Terms'!B13),"Warning","Pass"))</f>
        <v>Pass</v>
      </c>
    </row>
  </sheetData>
  <mergeCells count="2">
    <mergeCell ref="A1:H2"/>
    <mergeCell ref="A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 showGridLines="0"/>
  </sheetViews>
  <sheetFormatPr defaultRowHeight="20" outlineLevelRow="0" outlineLevelCol="0" x14ac:dyDescent="55" customHeight="1"/>
  <cols>
    <col min="1" max="1" width="27" customWidth="1"/>
    <col min="2" max="2" width="21" customWidth="1"/>
    <col min="3" max="5" width="18" customWidth="1"/>
    <col min="6" max="6" width="27" customWidth="1"/>
    <col min="7" max="7" width="17" customWidth="1"/>
    <col min="8" max="8" width="26" customWidth="1"/>
  </cols>
  <sheetData>
    <row r="1" ht="30" customHeight="1" spans="1:8" x14ac:dyDescent="0.25">
      <c r="A1" s="1" t="s">
        <v>148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149</v>
      </c>
      <c r="B3" s="2"/>
      <c r="C3" s="2"/>
      <c r="D3" s="2"/>
      <c r="E3" s="2"/>
      <c r="F3" s="2"/>
      <c r="G3" s="2"/>
      <c r="H3" s="2"/>
    </row>
    <row r="5" spans="1:8" x14ac:dyDescent="0.25">
      <c r="A5" t="s">
        <v>28</v>
      </c>
      <c r="B5" t="str">
        <f>'Agreement Terms'!B7</f>
        <v>Northstar Components LLC</v>
      </c>
      <c r="C5" t="s">
        <v>150</v>
      </c>
      <c r="D5" s="26">
        <f>'Agreement Terms'!B8</f>
        <v>46203</v>
      </c>
      <c r="E5" t="s">
        <v>151</v>
      </c>
      <c r="F5" s="10" t="s">
        <v>152</v>
      </c>
      <c r="G5" t="s">
        <v>143</v>
      </c>
      <c r="H5" s="19" t="str">
        <f>IF(COUNTIF('Covenant Tests'!G7:G10,"Fail")&gt;0,"Fail",IF(COUNTIF('Covenant Tests'!G7:G10,"Warning")&gt;0,"Warning","Pass"))</f>
        <v>Warning</v>
      </c>
    </row>
    <row r="7" ht="25" customHeight="1" spans="1:8" x14ac:dyDescent="0.25">
      <c r="A7" s="3" t="s">
        <v>153</v>
      </c>
      <c r="B7" s="3"/>
      <c r="C7" s="3"/>
      <c r="D7" s="3"/>
      <c r="E7" s="3"/>
      <c r="F7" s="3"/>
      <c r="G7" s="3"/>
      <c r="H7" s="3"/>
    </row>
    <row r="8" ht="34" customHeight="1" spans="1:8" x14ac:dyDescent="0.25">
      <c r="A8" s="9" t="s">
        <v>114</v>
      </c>
      <c r="B8" s="9" t="s">
        <v>116</v>
      </c>
      <c r="C8" s="9" t="s">
        <v>117</v>
      </c>
      <c r="D8" s="9" t="s">
        <v>118</v>
      </c>
      <c r="E8" s="9" t="s">
        <v>120</v>
      </c>
      <c r="F8" s="9" t="s">
        <v>26</v>
      </c>
      <c r="G8" s="9" t="s">
        <v>154</v>
      </c>
      <c r="H8" s="9" t="s">
        <v>155</v>
      </c>
    </row>
    <row r="9" spans="1:8" x14ac:dyDescent="0.25">
      <c r="A9" t="s">
        <v>121</v>
      </c>
      <c r="B9" s="24">
        <f>'Covenant Tests'!C7</f>
        <v>3</v>
      </c>
      <c r="C9" s="24">
        <f>'Covenant Tests'!D7</f>
        <v>3.5</v>
      </c>
      <c r="D9" s="24">
        <f>'Covenant Tests'!E7</f>
        <v>0.5</v>
      </c>
      <c r="E9" s="19" t="str">
        <f>'Covenant Tests'!G7</f>
        <v>Warning</v>
      </c>
      <c r="F9" t="s">
        <v>156</v>
      </c>
      <c r="G9" t="s">
        <v>157</v>
      </c>
      <c r="H9" t="s">
        <v>158</v>
      </c>
    </row>
    <row r="10" spans="1:8" x14ac:dyDescent="0.25">
      <c r="A10" t="s">
        <v>124</v>
      </c>
      <c r="B10" s="24">
        <f>'Covenant Tests'!C8</f>
        <v>4</v>
      </c>
      <c r="C10" s="24">
        <f>'Covenant Tests'!D8</f>
        <v>3</v>
      </c>
      <c r="D10" s="24">
        <f>'Covenant Tests'!E8</f>
        <v>1</v>
      </c>
      <c r="E10" s="21" t="str">
        <f>'Covenant Tests'!G8</f>
        <v>Pass</v>
      </c>
      <c r="F10" t="s">
        <v>159</v>
      </c>
      <c r="G10" t="s">
        <v>157</v>
      </c>
      <c r="H10" t="s">
        <v>126</v>
      </c>
    </row>
    <row r="11" spans="1:8" x14ac:dyDescent="0.25">
      <c r="A11" t="s">
        <v>127</v>
      </c>
      <c r="B11" s="24">
        <f>'Covenant Tests'!C9</f>
        <v>1.6</v>
      </c>
      <c r="C11" s="24">
        <f>'Covenant Tests'!D9</f>
        <v>1.25</v>
      </c>
      <c r="D11" s="24">
        <f>'Covenant Tests'!E9</f>
        <v>0.35</v>
      </c>
      <c r="E11" s="21" t="str">
        <f>'Covenant Tests'!G9</f>
        <v>Pass</v>
      </c>
      <c r="F11" t="s">
        <v>160</v>
      </c>
      <c r="G11" t="s">
        <v>157</v>
      </c>
      <c r="H11" t="s">
        <v>126</v>
      </c>
    </row>
    <row r="12" spans="1:8" x14ac:dyDescent="0.25">
      <c r="A12" t="s">
        <v>47</v>
      </c>
      <c r="B12" s="23">
        <f>'Covenant Tests'!C10</f>
        <v>850000</v>
      </c>
      <c r="C12" s="23">
        <f>'Covenant Tests'!D10</f>
        <v>500000</v>
      </c>
      <c r="D12" s="23">
        <f>'Covenant Tests'!E10</f>
        <v>350000</v>
      </c>
      <c r="E12" s="21" t="str">
        <f>'Covenant Tests'!G10</f>
        <v>Pass</v>
      </c>
      <c r="F12" t="s">
        <v>161</v>
      </c>
      <c r="G12" t="s">
        <v>157</v>
      </c>
      <c r="H12" t="s">
        <v>126</v>
      </c>
    </row>
    <row r="15" ht="25" customHeight="1" spans="1:8" x14ac:dyDescent="0.25">
      <c r="A15" s="5" t="s">
        <v>162</v>
      </c>
      <c r="B15" s="5"/>
      <c r="C15" s="5"/>
      <c r="D15" s="5"/>
      <c r="E15" s="5"/>
      <c r="F15" s="5"/>
      <c r="G15" s="5"/>
      <c r="H15" s="5"/>
    </row>
    <row r="16" spans="1:8" s="27" customFormat="1" x14ac:dyDescent="0.25">
      <c r="A16" s="27" t="s">
        <v>163</v>
      </c>
      <c r="B16" s="27" t="s">
        <v>164</v>
      </c>
      <c r="C16" s="27" t="s">
        <v>165</v>
      </c>
      <c r="D16" s="27" t="s">
        <v>166</v>
      </c>
      <c r="E16" s="27" t="s">
        <v>120</v>
      </c>
      <c r="F16" s="27" t="s">
        <v>167</v>
      </c>
      <c r="G16" s="27" t="s">
        <v>126</v>
      </c>
      <c r="H16" s="27" t="s">
        <v>126</v>
      </c>
    </row>
    <row r="17" spans="1:6" x14ac:dyDescent="0.25">
      <c r="A17" t="s">
        <v>146</v>
      </c>
      <c r="B17" s="24">
        <f>'Forecast Cases'!F9</f>
        <v>3.945313</v>
      </c>
      <c r="C17" s="24">
        <f>'Forecast Cases'!G9</f>
        <v>2.909091</v>
      </c>
      <c r="D17" s="23">
        <f>'Covenant Tests'!C10+'Forecast Cases'!E9</f>
        <v>650000</v>
      </c>
      <c r="E17" s="25" t="str">
        <f>'Forecast Cases'!H9</f>
        <v>Fail</v>
      </c>
      <c r="F17" t="s">
        <v>168</v>
      </c>
    </row>
    <row r="20" ht="25" customHeight="1" spans="1:8" x14ac:dyDescent="0.25">
      <c r="A20" s="3" t="s">
        <v>169</v>
      </c>
      <c r="B20" s="3"/>
      <c r="C20" s="3"/>
      <c r="D20" s="3"/>
      <c r="E20" s="3"/>
      <c r="F20" s="3"/>
      <c r="G20" s="3"/>
      <c r="H20" s="3"/>
    </row>
    <row r="21" spans="1:8" x14ac:dyDescent="0.25">
      <c r="A21" t="s">
        <v>151</v>
      </c>
      <c r="B21" s="10" t="s">
        <v>152</v>
      </c>
      <c r="C21" t="s">
        <v>170</v>
      </c>
      <c r="D21" s="11">
        <v>46211</v>
      </c>
      <c r="E21" t="s">
        <v>171</v>
      </c>
      <c r="F21" s="10" t="s">
        <v>126</v>
      </c>
      <c r="G21" t="s">
        <v>172</v>
      </c>
      <c r="H21" s="10" t="s">
        <v>126</v>
      </c>
    </row>
    <row r="23" spans="1:8" x14ac:dyDescent="0.25">
      <c r="A23" s="8" t="s">
        <v>173</v>
      </c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</sheetData>
  <mergeCells count="6">
    <mergeCell ref="A1:H2"/>
    <mergeCell ref="A3:H3"/>
    <mergeCell ref="A7:H7"/>
    <mergeCell ref="A15:H15"/>
    <mergeCell ref="A20:H20"/>
    <mergeCell ref="A23:H24"/>
  </mergeCells>
  <pageMargins left="0.25" right="0.25" top="0.35" bottom="0.35" header="0.1" footer="0.1"/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Agreement Terms</vt:lpstr>
      <vt:lpstr>Financial Inputs</vt:lpstr>
      <vt:lpstr>Covenant Tests</vt:lpstr>
      <vt:lpstr>Forecast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FinBoard</dc:creator>
  <dc:title/>
  <dc:subject/>
  <dc:description/>
  <cp:keywords/>
  <cp:category/>
  <cp:lastModifiedBy>Unknown</cp:lastModifiedBy>
  <dcterms:created xsi:type="dcterms:W3CDTF">2026-07-27T00:00:00Z</dcterms:created>
  <dcterms:modified xsi:type="dcterms:W3CDTF">2026-07-27T14:26:33Z</dcterms:modified>
</cp:coreProperties>
</file>