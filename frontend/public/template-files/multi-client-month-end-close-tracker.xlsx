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ients" sheetId="2" state="visible" r:id="rId2"/>
    <sheet name="Close Tracker" sheetId="3" state="visible" r:id="rId3"/>
    <sheet name="Summary"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0"/>
  </numFmts>
  <fonts count="6">
    <font>
      <name val="Calibri"/>
      <family val="2"/>
      <color theme="1"/>
      <sz val="11"/>
      <scheme val="minor"/>
    </font>
    <font>
      <b val="1"/>
      <color rgb="001F2937"/>
      <sz val="14"/>
    </font>
    <font>
      <color rgb="004B5563"/>
      <sz val="11"/>
    </font>
    <font>
      <b val="1"/>
      <color rgb="007C3AED"/>
      <sz val="12"/>
    </font>
    <font>
      <b val="1"/>
      <color rgb="00FFFFFF"/>
      <sz val="11"/>
    </font>
    <font>
      <b val="1"/>
    </font>
  </fonts>
  <fills count="5">
    <fill>
      <patternFill/>
    </fill>
    <fill>
      <patternFill patternType="gray125"/>
    </fill>
    <fill>
      <patternFill patternType="solid">
        <fgColor rgb="001F2937"/>
      </patternFill>
    </fill>
    <fill>
      <patternFill patternType="solid">
        <fgColor rgb="00FFF9E6"/>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xf>
    <xf numFmtId="0" fontId="4" fillId="2" borderId="1" applyAlignment="1" pivotButton="0" quotePrefix="0" xfId="0">
      <alignment horizontal="center"/>
    </xf>
    <xf numFmtId="0" fontId="0" fillId="3" borderId="1" pivotButton="0" quotePrefix="0" xfId="0"/>
    <xf numFmtId="0" fontId="0" fillId="3" borderId="1" applyAlignment="1" pivotButton="0" quotePrefix="0" xfId="0">
      <alignment horizontal="center"/>
    </xf>
    <xf numFmtId="165" fontId="0" fillId="3" borderId="1" applyAlignment="1" pivotButton="0" quotePrefix="0" xfId="0">
      <alignment horizontal="center"/>
    </xf>
    <xf numFmtId="1" fontId="0" fillId="0" borderId="1" applyAlignment="1" pivotButton="0" quotePrefix="0" xfId="0">
      <alignment horizontal="center"/>
    </xf>
    <xf numFmtId="1" fontId="0" fillId="0" borderId="0" applyAlignment="1" pivotButton="0" quotePrefix="0" xfId="0">
      <alignment horizontal="center"/>
    </xf>
    <xf numFmtId="0" fontId="0" fillId="0" borderId="1" pivotButton="0" quotePrefix="0" xfId="0"/>
    <xf numFmtId="9" fontId="0" fillId="0" borderId="1" applyAlignment="1" pivotButton="0" quotePrefix="0" xfId="0">
      <alignment horizontal="center"/>
    </xf>
    <xf numFmtId="166" fontId="0" fillId="0" borderId="1" applyAlignment="1" pivotButton="0" quotePrefix="0" xfId="0">
      <alignment horizontal="center"/>
    </xf>
    <xf numFmtId="0" fontId="5" fillId="4" borderId="1" pivotButton="0" quotePrefix="0" xfId="0"/>
    <xf numFmtId="1" fontId="5" fillId="4" borderId="1" applyAlignment="1" pivotButton="0" quotePrefix="0" xfId="0">
      <alignment horizontal="center"/>
    </xf>
    <xf numFmtId="9" fontId="5" fillId="4" borderId="1" applyAlignment="1" pivotButton="0" quotePrefix="0" xfId="0">
      <alignment horizontal="center"/>
    </xf>
    <xf numFmtId="166" fontId="5"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00" customWidth="1" min="2" max="2"/>
  </cols>
  <sheetData>
    <row r="2">
      <c r="B2" s="1" t="inlineStr">
        <is>
          <t>Multi-Client Month-End Close Tracker</t>
        </is>
      </c>
    </row>
    <row r="3">
      <c r="B3" s="2" t="inlineStr">
        <is>
          <t>For accounting firms running month-end close across many clients at once.</t>
        </is>
      </c>
    </row>
    <row r="4">
      <c r="B4" s="3" t="inlineStr"/>
    </row>
    <row r="5">
      <c r="B5" s="4" t="inlineStr">
        <is>
          <t>How it works</t>
        </is>
      </c>
    </row>
    <row r="6" ht="30" customHeight="1">
      <c r="B6" s="3" t="inlineStr">
        <is>
          <t>1. On the Clients sheet, list every client you close each month in the yellow input cells: entity count, accounting software, the close owner at your firm, and the target number of days to close.</t>
        </is>
      </c>
    </row>
    <row r="7" ht="30" customHeight="1">
      <c r="B7" s="3" t="inlineStr">
        <is>
          <t>2. On the Close Tracker sheet, add one row per client per task. Pick the Client, Task, and Status from the dropdowns, then enter the Due Date and, once finished, the Completed Date.</t>
        </is>
      </c>
    </row>
    <row r="8" ht="30" customHeight="1">
      <c r="B8" s="3" t="inlineStr">
        <is>
          <t>3. Days Late computes automatically: if a task was completed after its due date, it shows how many days late; otherwise 0. It stays blank until both dates are filled.</t>
        </is>
      </c>
    </row>
    <row r="9" ht="30" customHeight="1">
      <c r="B9" s="3" t="inlineStr">
        <is>
          <t>4. The Summary sheet rolls everything up per client with formulas only: total tasks, tasks done, percent complete, blocked count, days to close so far, and how that compares with the client's target. A firm-level totals row sits at the bottom.</t>
        </is>
      </c>
    </row>
    <row r="10">
      <c r="B10" s="3" t="inlineStr"/>
    </row>
    <row r="11">
      <c r="B11" s="4" t="inlineStr">
        <is>
          <t>Monthly workflow</t>
        </is>
      </c>
    </row>
    <row r="12" ht="30" customHeight="1">
      <c r="B12" s="3" t="inlineStr">
        <is>
          <t>At the start of each month, right-click the Close Tracker tab and choose Move or Copy &gt; Create a copy. Rename the copy for the new period (for example, Close Tracker Jul), clear the Completed Date and reset Status to Not started, and update the Due Dates. The Summary formulas read the sheet named Close Tracker, so keep the current month on that tab and archive old copies.</t>
        </is>
      </c>
    </row>
    <row r="13">
      <c r="B13" s="3" t="inlineStr"/>
    </row>
    <row r="14">
      <c r="B14" s="4" t="inlineStr">
        <is>
          <t>Conventions</t>
        </is>
      </c>
    </row>
    <row r="15" ht="30" customHeight="1">
      <c r="B15" s="3" t="inlineStr">
        <is>
          <t>Yellow cells are inputs; everything else computes from them. Never type over a formula cell.</t>
        </is>
      </c>
    </row>
    <row r="16" ht="30" customHeight="1">
      <c r="B16" s="3" t="inlineStr">
        <is>
          <t>Statuses drive all rollups: only rows marked Done count as complete, and Blocked rows surface in the Summary blocked count so partners can unstick them fast.</t>
        </is>
      </c>
    </row>
    <row r="17" ht="30" customHeight="1">
      <c r="B17" s="3" t="inlineStr">
        <is>
          <t>Days to close so far = latest completed date minus earliest due date for that client, an honest elapsed-days measure of how long the close has been running.</t>
        </is>
      </c>
    </row>
    <row r="18">
      <c r="B18" s="3" t="inlineStr"/>
    </row>
    <row r="19">
      <c r="B19" s="4" t="inlineStr">
        <is>
          <t>Worked example</t>
        </is>
      </c>
    </row>
    <row r="20" ht="30" customHeight="1">
      <c r="B20" s="3" t="inlineStr">
        <is>
          <t>The workbook ships with six sample clients and 31 tasks for a June close. Delta Property Group is fully delivered (6 of 6 done, closed in 8 days against an 8-day target), while Cedar &amp; Vine has two blocked tasks dragging its close. Replace the sample rows with your own clients and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20" customWidth="1" min="3" max="3"/>
    <col width="16" customWidth="1" min="4" max="4"/>
    <col width="20" customWidth="1" min="5" max="5"/>
  </cols>
  <sheetData>
    <row r="1">
      <c r="A1" s="5" t="inlineStr">
        <is>
          <t>Client</t>
        </is>
      </c>
      <c r="B1" s="6" t="inlineStr">
        <is>
          <t>Entity Count</t>
        </is>
      </c>
      <c r="C1" s="6" t="inlineStr">
        <is>
          <t>Software</t>
        </is>
      </c>
      <c r="D1" s="6" t="inlineStr">
        <is>
          <t>Close Owner</t>
        </is>
      </c>
      <c r="E1" s="6" t="inlineStr">
        <is>
          <t>Target Days to Close</t>
        </is>
      </c>
    </row>
    <row r="2">
      <c r="A2" s="7" t="inlineStr">
        <is>
          <t>Acme Robotics</t>
        </is>
      </c>
      <c r="B2" s="8" t="n">
        <v>1</v>
      </c>
      <c r="C2" s="7" t="inlineStr">
        <is>
          <t>QuickBooks Online</t>
        </is>
      </c>
      <c r="D2" s="7" t="inlineStr">
        <is>
          <t>Priya S.</t>
        </is>
      </c>
      <c r="E2" s="8" t="n">
        <v>5</v>
      </c>
    </row>
    <row r="3">
      <c r="A3" s="7" t="inlineStr">
        <is>
          <t>Bluebird Dental</t>
        </is>
      </c>
      <c r="B3" s="8" t="n">
        <v>2</v>
      </c>
      <c r="C3" s="7" t="inlineStr">
        <is>
          <t>Xero</t>
        </is>
      </c>
      <c r="D3" s="7" t="inlineStr">
        <is>
          <t>Marcus T.</t>
        </is>
      </c>
      <c r="E3" s="8" t="n">
        <v>7</v>
      </c>
    </row>
    <row r="4">
      <c r="A4" s="7" t="inlineStr">
        <is>
          <t>Cedar &amp; Vine Restaurants</t>
        </is>
      </c>
      <c r="B4" s="8" t="n">
        <v>3</v>
      </c>
      <c r="C4" s="7" t="inlineStr">
        <is>
          <t>QuickBooks Online</t>
        </is>
      </c>
      <c r="D4" s="7" t="inlineStr">
        <is>
          <t>Priya S.</t>
        </is>
      </c>
      <c r="E4" s="8" t="n">
        <v>10</v>
      </c>
    </row>
    <row r="5">
      <c r="A5" s="7" t="inlineStr">
        <is>
          <t>Delta Property Group</t>
        </is>
      </c>
      <c r="B5" s="8" t="n">
        <v>4</v>
      </c>
      <c r="C5" s="7" t="inlineStr">
        <is>
          <t>QuickBooks Desktop</t>
        </is>
      </c>
      <c r="D5" s="7" t="inlineStr">
        <is>
          <t>Jordan K.</t>
        </is>
      </c>
      <c r="E5" s="8" t="n">
        <v>8</v>
      </c>
    </row>
    <row r="6">
      <c r="A6" s="7" t="inlineStr">
        <is>
          <t>Everline SaaS</t>
        </is>
      </c>
      <c r="B6" s="8" t="n">
        <v>1</v>
      </c>
      <c r="C6" s="7" t="inlineStr">
        <is>
          <t>NetSuite</t>
        </is>
      </c>
      <c r="D6" s="7" t="inlineStr">
        <is>
          <t>Marcus T.</t>
        </is>
      </c>
      <c r="E6" s="8" t="n">
        <v>5</v>
      </c>
    </row>
    <row r="7">
      <c r="A7" s="7" t="inlineStr">
        <is>
          <t>Foster Community Fund</t>
        </is>
      </c>
      <c r="B7" s="8" t="n">
        <v>1</v>
      </c>
      <c r="C7" s="7" t="inlineStr">
        <is>
          <t>QuickBooks Online</t>
        </is>
      </c>
      <c r="D7" s="7" t="inlineStr">
        <is>
          <t>Jordan K.</t>
        </is>
      </c>
      <c r="E7" s="8"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0"/>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13" customWidth="1" min="3" max="3"/>
    <col width="13" customWidth="1" min="4" max="4"/>
    <col width="15" customWidth="1" min="5" max="5"/>
    <col width="13" customWidth="1" min="6" max="6"/>
    <col width="11" customWidth="1" min="7" max="7"/>
  </cols>
  <sheetData>
    <row r="1">
      <c r="A1" s="5" t="inlineStr">
        <is>
          <t>Client</t>
        </is>
      </c>
      <c r="B1" s="5" t="inlineStr">
        <is>
          <t>Task</t>
        </is>
      </c>
      <c r="C1" s="5" t="inlineStr">
        <is>
          <t>Owner</t>
        </is>
      </c>
      <c r="D1" s="6" t="inlineStr">
        <is>
          <t>Due Date</t>
        </is>
      </c>
      <c r="E1" s="6" t="inlineStr">
        <is>
          <t>Completed Date</t>
        </is>
      </c>
      <c r="F1" s="6" t="inlineStr">
        <is>
          <t>Status</t>
        </is>
      </c>
      <c r="G1" s="6" t="inlineStr">
        <is>
          <t>Days Late</t>
        </is>
      </c>
    </row>
    <row r="2">
      <c r="A2" s="7" t="inlineStr">
        <is>
          <t>Acme Robotics</t>
        </is>
      </c>
      <c r="B2" s="7" t="inlineStr">
        <is>
          <t>Bank rec</t>
        </is>
      </c>
      <c r="C2" s="7" t="inlineStr">
        <is>
          <t>Priya S.</t>
        </is>
      </c>
      <c r="D2" s="9" t="n">
        <v>46205</v>
      </c>
      <c r="E2" s="9" t="n">
        <v>46205</v>
      </c>
      <c r="F2" s="8" t="inlineStr">
        <is>
          <t>Done</t>
        </is>
      </c>
      <c r="G2" s="10">
        <f>IF(OR($D2="",$E2=""),"",MAX(0,$E2-$D2))</f>
        <v/>
      </c>
    </row>
    <row r="3">
      <c r="A3" s="7" t="inlineStr">
        <is>
          <t>Acme Robotics</t>
        </is>
      </c>
      <c r="B3" s="7" t="inlineStr">
        <is>
          <t>Credit cards</t>
        </is>
      </c>
      <c r="C3" s="7" t="inlineStr">
        <is>
          <t>Priya S.</t>
        </is>
      </c>
      <c r="D3" s="9" t="n">
        <v>46205</v>
      </c>
      <c r="E3" s="9" t="n">
        <v>46206</v>
      </c>
      <c r="F3" s="8" t="inlineStr">
        <is>
          <t>Done</t>
        </is>
      </c>
      <c r="G3" s="10">
        <f>IF(OR($D3="",$E3=""),"",MAX(0,$E3-$D3))</f>
        <v/>
      </c>
    </row>
    <row r="4">
      <c r="A4" s="7" t="inlineStr">
        <is>
          <t>Acme Robotics</t>
        </is>
      </c>
      <c r="B4" s="7" t="inlineStr">
        <is>
          <t>Accruals</t>
        </is>
      </c>
      <c r="C4" s="7" t="inlineStr">
        <is>
          <t>Priya S.</t>
        </is>
      </c>
      <c r="D4" s="9" t="n">
        <v>46206</v>
      </c>
      <c r="E4" s="9" t="n">
        <v>46206</v>
      </c>
      <c r="F4" s="8" t="inlineStr">
        <is>
          <t>Done</t>
        </is>
      </c>
      <c r="G4" s="10">
        <f>IF(OR($D4="",$E4=""),"",MAX(0,$E4-$D4))</f>
        <v/>
      </c>
    </row>
    <row r="5">
      <c r="A5" s="7" t="inlineStr">
        <is>
          <t>Acme Robotics</t>
        </is>
      </c>
      <c r="B5" s="7" t="inlineStr">
        <is>
          <t>Financials draft</t>
        </is>
      </c>
      <c r="C5" s="7" t="inlineStr">
        <is>
          <t>Priya S.</t>
        </is>
      </c>
      <c r="D5" s="9" t="n">
        <v>46208</v>
      </c>
      <c r="E5" s="9" t="n"/>
      <c r="F5" s="8" t="inlineStr">
        <is>
          <t>In progress</t>
        </is>
      </c>
      <c r="G5" s="10">
        <f>IF(OR($D5="",$E5=""),"",MAX(0,$E5-$D5))</f>
        <v/>
      </c>
    </row>
    <row r="6">
      <c r="A6" s="7" t="inlineStr">
        <is>
          <t>Acme Robotics</t>
        </is>
      </c>
      <c r="B6" s="7" t="inlineStr">
        <is>
          <t>Partner review</t>
        </is>
      </c>
      <c r="C6" s="7" t="inlineStr">
        <is>
          <t>Dana R.</t>
        </is>
      </c>
      <c r="D6" s="9" t="n">
        <v>46209</v>
      </c>
      <c r="E6" s="9" t="n"/>
      <c r="F6" s="8" t="inlineStr">
        <is>
          <t>Not started</t>
        </is>
      </c>
      <c r="G6" s="10">
        <f>IF(OR($D6="",$E6=""),"",MAX(0,$E6-$D6))</f>
        <v/>
      </c>
    </row>
    <row r="7">
      <c r="A7" s="7" t="inlineStr">
        <is>
          <t>Bluebird Dental</t>
        </is>
      </c>
      <c r="B7" s="7" t="inlineStr">
        <is>
          <t>Bank rec</t>
        </is>
      </c>
      <c r="C7" s="7" t="inlineStr">
        <is>
          <t>Marcus T.</t>
        </is>
      </c>
      <c r="D7" s="9" t="n">
        <v>46206</v>
      </c>
      <c r="E7" s="9" t="n">
        <v>46205</v>
      </c>
      <c r="F7" s="8" t="inlineStr">
        <is>
          <t>Done</t>
        </is>
      </c>
      <c r="G7" s="10">
        <f>IF(OR($D7="",$E7=""),"",MAX(0,$E7-$D7))</f>
        <v/>
      </c>
    </row>
    <row r="8">
      <c r="A8" s="7" t="inlineStr">
        <is>
          <t>Bluebird Dental</t>
        </is>
      </c>
      <c r="B8" s="7" t="inlineStr">
        <is>
          <t>AR review</t>
        </is>
      </c>
      <c r="C8" s="7" t="inlineStr">
        <is>
          <t>Marcus T.</t>
        </is>
      </c>
      <c r="D8" s="9" t="n">
        <v>46207</v>
      </c>
      <c r="E8" s="9" t="n">
        <v>46209</v>
      </c>
      <c r="F8" s="8" t="inlineStr">
        <is>
          <t>Done</t>
        </is>
      </c>
      <c r="G8" s="10">
        <f>IF(OR($D8="",$E8=""),"",MAX(0,$E8-$D8))</f>
        <v/>
      </c>
    </row>
    <row r="9">
      <c r="A9" s="7" t="inlineStr">
        <is>
          <t>Bluebird Dental</t>
        </is>
      </c>
      <c r="B9" s="7" t="inlineStr">
        <is>
          <t>AP cutoff</t>
        </is>
      </c>
      <c r="C9" s="7" t="inlineStr">
        <is>
          <t>Marcus T.</t>
        </is>
      </c>
      <c r="D9" s="9" t="n">
        <v>46207</v>
      </c>
      <c r="E9" s="9" t="n"/>
      <c r="F9" s="8" t="inlineStr">
        <is>
          <t>Blocked</t>
        </is>
      </c>
      <c r="G9" s="10">
        <f>IF(OR($D9="",$E9=""),"",MAX(0,$E9-$D9))</f>
        <v/>
      </c>
    </row>
    <row r="10">
      <c r="A10" s="7" t="inlineStr">
        <is>
          <t>Bluebird Dental</t>
        </is>
      </c>
      <c r="B10" s="7" t="inlineStr">
        <is>
          <t>Payroll tie-out</t>
        </is>
      </c>
      <c r="C10" s="7" t="inlineStr">
        <is>
          <t>Sam W.</t>
        </is>
      </c>
      <c r="D10" s="9" t="n">
        <v>46208</v>
      </c>
      <c r="E10" s="9" t="n">
        <v>46208</v>
      </c>
      <c r="F10" s="8" t="inlineStr">
        <is>
          <t>Done</t>
        </is>
      </c>
      <c r="G10" s="10">
        <f>IF(OR($D10="",$E10=""),"",MAX(0,$E10-$D10))</f>
        <v/>
      </c>
    </row>
    <row r="11">
      <c r="A11" s="7" t="inlineStr">
        <is>
          <t>Bluebird Dental</t>
        </is>
      </c>
      <c r="B11" s="7" t="inlineStr">
        <is>
          <t>Financials draft</t>
        </is>
      </c>
      <c r="C11" s="7" t="inlineStr">
        <is>
          <t>Marcus T.</t>
        </is>
      </c>
      <c r="D11" s="9" t="n">
        <v>46211</v>
      </c>
      <c r="E11" s="9" t="n"/>
      <c r="F11" s="8" t="inlineStr">
        <is>
          <t>Not started</t>
        </is>
      </c>
      <c r="G11" s="10">
        <f>IF(OR($D11="",$E11=""),"",MAX(0,$E11-$D11))</f>
        <v/>
      </c>
    </row>
    <row r="12">
      <c r="A12" s="7" t="inlineStr">
        <is>
          <t>Cedar &amp; Vine Restaurants</t>
        </is>
      </c>
      <c r="B12" s="7" t="inlineStr">
        <is>
          <t>Bank rec</t>
        </is>
      </c>
      <c r="C12" s="7" t="inlineStr">
        <is>
          <t>Priya S.</t>
        </is>
      </c>
      <c r="D12" s="9" t="n">
        <v>46206</v>
      </c>
      <c r="E12" s="9" t="n">
        <v>46208</v>
      </c>
      <c r="F12" s="8" t="inlineStr">
        <is>
          <t>Done</t>
        </is>
      </c>
      <c r="G12" s="10">
        <f>IF(OR($D12="",$E12=""),"",MAX(0,$E12-$D12))</f>
        <v/>
      </c>
    </row>
    <row r="13">
      <c r="A13" s="7" t="inlineStr">
        <is>
          <t>Cedar &amp; Vine Restaurants</t>
        </is>
      </c>
      <c r="B13" s="7" t="inlineStr">
        <is>
          <t>Credit cards</t>
        </is>
      </c>
      <c r="C13" s="7" t="inlineStr">
        <is>
          <t>Priya S.</t>
        </is>
      </c>
      <c r="D13" s="9" t="n">
        <v>46206</v>
      </c>
      <c r="E13" s="9" t="n">
        <v>46208</v>
      </c>
      <c r="F13" s="8" t="inlineStr">
        <is>
          <t>Done</t>
        </is>
      </c>
      <c r="G13" s="10">
        <f>IF(OR($D13="",$E13=""),"",MAX(0,$E13-$D13))</f>
        <v/>
      </c>
    </row>
    <row r="14">
      <c r="A14" s="7" t="inlineStr">
        <is>
          <t>Cedar &amp; Vine Restaurants</t>
        </is>
      </c>
      <c r="B14" s="7" t="inlineStr">
        <is>
          <t>AP cutoff</t>
        </is>
      </c>
      <c r="C14" s="7" t="inlineStr">
        <is>
          <t>Sam W.</t>
        </is>
      </c>
      <c r="D14" s="9" t="n">
        <v>46208</v>
      </c>
      <c r="E14" s="9" t="n"/>
      <c r="F14" s="8" t="inlineStr">
        <is>
          <t>Blocked</t>
        </is>
      </c>
      <c r="G14" s="10">
        <f>IF(OR($D14="",$E14=""),"",MAX(0,$E14-$D14))</f>
        <v/>
      </c>
    </row>
    <row r="15">
      <c r="A15" s="7" t="inlineStr">
        <is>
          <t>Cedar &amp; Vine Restaurants</t>
        </is>
      </c>
      <c r="B15" s="7" t="inlineStr">
        <is>
          <t>Accruals</t>
        </is>
      </c>
      <c r="C15" s="7" t="inlineStr">
        <is>
          <t>Priya S.</t>
        </is>
      </c>
      <c r="D15" s="9" t="n">
        <v>46209</v>
      </c>
      <c r="E15" s="9" t="n"/>
      <c r="F15" s="8" t="inlineStr">
        <is>
          <t>In progress</t>
        </is>
      </c>
      <c r="G15" s="10">
        <f>IF(OR($D15="",$E15=""),"",MAX(0,$E15-$D15))</f>
        <v/>
      </c>
    </row>
    <row r="16">
      <c r="A16" s="7" t="inlineStr">
        <is>
          <t>Cedar &amp; Vine Restaurants</t>
        </is>
      </c>
      <c r="B16" s="7" t="inlineStr">
        <is>
          <t>Payroll tie-out</t>
        </is>
      </c>
      <c r="C16" s="7" t="inlineStr">
        <is>
          <t>Sam W.</t>
        </is>
      </c>
      <c r="D16" s="9" t="n">
        <v>46209</v>
      </c>
      <c r="E16" s="9" t="n"/>
      <c r="F16" s="8" t="inlineStr">
        <is>
          <t>Blocked</t>
        </is>
      </c>
      <c r="G16" s="10">
        <f>IF(OR($D16="",$E16=""),"",MAX(0,$E16-$D16))</f>
        <v/>
      </c>
    </row>
    <row r="17">
      <c r="A17" s="7" t="inlineStr">
        <is>
          <t>Cedar &amp; Vine Restaurants</t>
        </is>
      </c>
      <c r="B17" s="7" t="inlineStr">
        <is>
          <t>Financials draft</t>
        </is>
      </c>
      <c r="C17" s="7" t="inlineStr">
        <is>
          <t>Priya S.</t>
        </is>
      </c>
      <c r="D17" s="9" t="n">
        <v>46212</v>
      </c>
      <c r="E17" s="9" t="n"/>
      <c r="F17" s="8" t="inlineStr">
        <is>
          <t>Not started</t>
        </is>
      </c>
      <c r="G17" s="10">
        <f>IF(OR($D17="",$E17=""),"",MAX(0,$E17-$D17))</f>
        <v/>
      </c>
    </row>
    <row r="18">
      <c r="A18" s="7" t="inlineStr">
        <is>
          <t>Delta Property Group</t>
        </is>
      </c>
      <c r="B18" s="7" t="inlineStr">
        <is>
          <t>Bank rec</t>
        </is>
      </c>
      <c r="C18" s="7" t="inlineStr">
        <is>
          <t>Jordan K.</t>
        </is>
      </c>
      <c r="D18" s="9" t="n">
        <v>46205</v>
      </c>
      <c r="E18" s="9" t="n">
        <v>46205</v>
      </c>
      <c r="F18" s="8" t="inlineStr">
        <is>
          <t>Done</t>
        </is>
      </c>
      <c r="G18" s="10">
        <f>IF(OR($D18="",$E18=""),"",MAX(0,$E18-$D18))</f>
        <v/>
      </c>
    </row>
    <row r="19">
      <c r="A19" s="7" t="inlineStr">
        <is>
          <t>Delta Property Group</t>
        </is>
      </c>
      <c r="B19" s="7" t="inlineStr">
        <is>
          <t>AR review</t>
        </is>
      </c>
      <c r="C19" s="7" t="inlineStr">
        <is>
          <t>Jordan K.</t>
        </is>
      </c>
      <c r="D19" s="9" t="n">
        <v>46208</v>
      </c>
      <c r="E19" s="9" t="n">
        <v>46207</v>
      </c>
      <c r="F19" s="8" t="inlineStr">
        <is>
          <t>Done</t>
        </is>
      </c>
      <c r="G19" s="10">
        <f>IF(OR($D19="",$E19=""),"",MAX(0,$E19-$D19))</f>
        <v/>
      </c>
    </row>
    <row r="20">
      <c r="A20" s="7" t="inlineStr">
        <is>
          <t>Delta Property Group</t>
        </is>
      </c>
      <c r="B20" s="7" t="inlineStr">
        <is>
          <t>Accruals</t>
        </is>
      </c>
      <c r="C20" s="7" t="inlineStr">
        <is>
          <t>Jordan K.</t>
        </is>
      </c>
      <c r="D20" s="9" t="n">
        <v>46209</v>
      </c>
      <c r="E20" s="9" t="n">
        <v>46210</v>
      </c>
      <c r="F20" s="8" t="inlineStr">
        <is>
          <t>Done</t>
        </is>
      </c>
      <c r="G20" s="10">
        <f>IF(OR($D20="",$E20=""),"",MAX(0,$E20-$D20))</f>
        <v/>
      </c>
    </row>
    <row r="21">
      <c r="A21" s="7" t="inlineStr">
        <is>
          <t>Delta Property Group</t>
        </is>
      </c>
      <c r="B21" s="7" t="inlineStr">
        <is>
          <t>Financials draft</t>
        </is>
      </c>
      <c r="C21" s="7" t="inlineStr">
        <is>
          <t>Jordan K.</t>
        </is>
      </c>
      <c r="D21" s="9" t="n">
        <v>46211</v>
      </c>
      <c r="E21" s="9" t="n">
        <v>46211</v>
      </c>
      <c r="F21" s="8" t="inlineStr">
        <is>
          <t>Done</t>
        </is>
      </c>
      <c r="G21" s="10">
        <f>IF(OR($D21="",$E21=""),"",MAX(0,$E21-$D21))</f>
        <v/>
      </c>
    </row>
    <row r="22">
      <c r="A22" s="7" t="inlineStr">
        <is>
          <t>Delta Property Group</t>
        </is>
      </c>
      <c r="B22" s="7" t="inlineStr">
        <is>
          <t>Partner review</t>
        </is>
      </c>
      <c r="C22" s="7" t="inlineStr">
        <is>
          <t>Dana R.</t>
        </is>
      </c>
      <c r="D22" s="9" t="n">
        <v>46212</v>
      </c>
      <c r="E22" s="9" t="n">
        <v>46213</v>
      </c>
      <c r="F22" s="8" t="inlineStr">
        <is>
          <t>Done</t>
        </is>
      </c>
      <c r="G22" s="10">
        <f>IF(OR($D22="",$E22=""),"",MAX(0,$E22-$D22))</f>
        <v/>
      </c>
    </row>
    <row r="23">
      <c r="A23" s="7" t="inlineStr">
        <is>
          <t>Delta Property Group</t>
        </is>
      </c>
      <c r="B23" s="7" t="inlineStr">
        <is>
          <t>Delivered</t>
        </is>
      </c>
      <c r="C23" s="7" t="inlineStr">
        <is>
          <t>Jordan K.</t>
        </is>
      </c>
      <c r="D23" s="9" t="n">
        <v>46213</v>
      </c>
      <c r="E23" s="9" t="n">
        <v>46213</v>
      </c>
      <c r="F23" s="8" t="inlineStr">
        <is>
          <t>Done</t>
        </is>
      </c>
      <c r="G23" s="10">
        <f>IF(OR($D23="",$E23=""),"",MAX(0,$E23-$D23))</f>
        <v/>
      </c>
    </row>
    <row r="24">
      <c r="A24" s="7" t="inlineStr">
        <is>
          <t>Everline SaaS</t>
        </is>
      </c>
      <c r="B24" s="7" t="inlineStr">
        <is>
          <t>Bank rec</t>
        </is>
      </c>
      <c r="C24" s="7" t="inlineStr">
        <is>
          <t>Marcus T.</t>
        </is>
      </c>
      <c r="D24" s="9" t="n">
        <v>46205</v>
      </c>
      <c r="E24" s="9" t="n">
        <v>46205</v>
      </c>
      <c r="F24" s="8" t="inlineStr">
        <is>
          <t>Done</t>
        </is>
      </c>
      <c r="G24" s="10">
        <f>IF(OR($D24="",$E24=""),"",MAX(0,$E24-$D24))</f>
        <v/>
      </c>
    </row>
    <row r="25">
      <c r="A25" s="7" t="inlineStr">
        <is>
          <t>Everline SaaS</t>
        </is>
      </c>
      <c r="B25" s="7" t="inlineStr">
        <is>
          <t>Credit cards</t>
        </is>
      </c>
      <c r="C25" s="7" t="inlineStr">
        <is>
          <t>Marcus T.</t>
        </is>
      </c>
      <c r="D25" s="9" t="n">
        <v>46205</v>
      </c>
      <c r="E25" s="9" t="n">
        <v>46205</v>
      </c>
      <c r="F25" s="8" t="inlineStr">
        <is>
          <t>Done</t>
        </is>
      </c>
      <c r="G25" s="10">
        <f>IF(OR($D25="",$E25=""),"",MAX(0,$E25-$D25))</f>
        <v/>
      </c>
    </row>
    <row r="26">
      <c r="A26" s="7" t="inlineStr">
        <is>
          <t>Everline SaaS</t>
        </is>
      </c>
      <c r="B26" s="7" t="inlineStr">
        <is>
          <t>Payroll tie-out</t>
        </is>
      </c>
      <c r="C26" s="7" t="inlineStr">
        <is>
          <t>Sam W.</t>
        </is>
      </c>
      <c r="D26" s="9" t="n">
        <v>46206</v>
      </c>
      <c r="E26" s="9" t="n">
        <v>46206</v>
      </c>
      <c r="F26" s="8" t="inlineStr">
        <is>
          <t>Done</t>
        </is>
      </c>
      <c r="G26" s="10">
        <f>IF(OR($D26="",$E26=""),"",MAX(0,$E26-$D26))</f>
        <v/>
      </c>
    </row>
    <row r="27">
      <c r="A27" s="7" t="inlineStr">
        <is>
          <t>Everline SaaS</t>
        </is>
      </c>
      <c r="B27" s="7" t="inlineStr">
        <is>
          <t>Accruals</t>
        </is>
      </c>
      <c r="C27" s="7" t="inlineStr">
        <is>
          <t>Marcus T.</t>
        </is>
      </c>
      <c r="D27" s="9" t="n">
        <v>46206</v>
      </c>
      <c r="E27" s="9" t="n">
        <v>46207</v>
      </c>
      <c r="F27" s="8" t="inlineStr">
        <is>
          <t>Done</t>
        </is>
      </c>
      <c r="G27" s="10">
        <f>IF(OR($D27="",$E27=""),"",MAX(0,$E27-$D27))</f>
        <v/>
      </c>
    </row>
    <row r="28">
      <c r="A28" s="7" t="inlineStr">
        <is>
          <t>Everline SaaS</t>
        </is>
      </c>
      <c r="B28" s="7" t="inlineStr">
        <is>
          <t>Financials draft</t>
        </is>
      </c>
      <c r="C28" s="7" t="inlineStr">
        <is>
          <t>Marcus T.</t>
        </is>
      </c>
      <c r="D28" s="9" t="n">
        <v>46208</v>
      </c>
      <c r="E28" s="9" t="n"/>
      <c r="F28" s="8" t="inlineStr">
        <is>
          <t>In progress</t>
        </is>
      </c>
      <c r="G28" s="10">
        <f>IF(OR($D28="",$E28=""),"",MAX(0,$E28-$D28))</f>
        <v/>
      </c>
    </row>
    <row r="29">
      <c r="A29" s="7" t="inlineStr">
        <is>
          <t>Foster Community Fund</t>
        </is>
      </c>
      <c r="B29" s="7" t="inlineStr">
        <is>
          <t>Bank rec</t>
        </is>
      </c>
      <c r="C29" s="7" t="inlineStr">
        <is>
          <t>Jordan K.</t>
        </is>
      </c>
      <c r="D29" s="9" t="n">
        <v>46208</v>
      </c>
      <c r="E29" s="9" t="n"/>
      <c r="F29" s="8" t="inlineStr">
        <is>
          <t>In progress</t>
        </is>
      </c>
      <c r="G29" s="10">
        <f>IF(OR($D29="",$E29=""),"",MAX(0,$E29-$D29))</f>
        <v/>
      </c>
    </row>
    <row r="30">
      <c r="A30" s="7" t="inlineStr">
        <is>
          <t>Foster Community Fund</t>
        </is>
      </c>
      <c r="B30" s="7" t="inlineStr">
        <is>
          <t>AR review</t>
        </is>
      </c>
      <c r="C30" s="7" t="inlineStr">
        <is>
          <t>Jordan K.</t>
        </is>
      </c>
      <c r="D30" s="9" t="n">
        <v>46209</v>
      </c>
      <c r="E30" s="9" t="n"/>
      <c r="F30" s="8" t="inlineStr">
        <is>
          <t>Not started</t>
        </is>
      </c>
      <c r="G30" s="10">
        <f>IF(OR($D30="",$E30=""),"",MAX(0,$E30-$D30))</f>
        <v/>
      </c>
    </row>
    <row r="31">
      <c r="A31" s="7" t="inlineStr">
        <is>
          <t>Foster Community Fund</t>
        </is>
      </c>
      <c r="B31" s="7" t="inlineStr">
        <is>
          <t>Accruals</t>
        </is>
      </c>
      <c r="C31" s="7" t="inlineStr">
        <is>
          <t>Jordan K.</t>
        </is>
      </c>
      <c r="D31" s="9" t="n">
        <v>46211</v>
      </c>
      <c r="E31" s="9" t="n"/>
      <c r="F31" s="8" t="inlineStr">
        <is>
          <t>Not started</t>
        </is>
      </c>
      <c r="G31" s="10">
        <f>IF(OR($D31="",$E31=""),"",MAX(0,$E31-$D31))</f>
        <v/>
      </c>
    </row>
    <row r="32">
      <c r="A32" s="7" t="inlineStr">
        <is>
          <t>Foster Community Fund</t>
        </is>
      </c>
      <c r="B32" s="7" t="inlineStr">
        <is>
          <t>Financials draft</t>
        </is>
      </c>
      <c r="C32" s="7" t="inlineStr">
        <is>
          <t>Jordan K.</t>
        </is>
      </c>
      <c r="D32" s="9" t="n">
        <v>46215</v>
      </c>
      <c r="E32" s="9" t="n"/>
      <c r="F32" s="8" t="inlineStr">
        <is>
          <t>Not started</t>
        </is>
      </c>
      <c r="G32" s="10">
        <f>IF(OR($D32="",$E32=""),"",MAX(0,$E32-$D32))</f>
        <v/>
      </c>
    </row>
    <row r="33">
      <c r="G33" s="11">
        <f>IF(OR($D33="",$E33=""),"",MAX(0,$E33-$D33))</f>
        <v/>
      </c>
    </row>
    <row r="34">
      <c r="G34" s="11">
        <f>IF(OR($D34="",$E34=""),"",MAX(0,$E34-$D34))</f>
        <v/>
      </c>
    </row>
    <row r="35">
      <c r="G35" s="11">
        <f>IF(OR($D35="",$E35=""),"",MAX(0,$E35-$D35))</f>
        <v/>
      </c>
    </row>
    <row r="36">
      <c r="G36" s="11">
        <f>IF(OR($D36="",$E36=""),"",MAX(0,$E36-$D36))</f>
        <v/>
      </c>
    </row>
    <row r="37">
      <c r="G37" s="11">
        <f>IF(OR($D37="",$E37=""),"",MAX(0,$E37-$D37))</f>
        <v/>
      </c>
    </row>
    <row r="38">
      <c r="G38" s="11">
        <f>IF(OR($D38="",$E38=""),"",MAX(0,$E38-$D38))</f>
        <v/>
      </c>
    </row>
    <row r="39">
      <c r="G39" s="11">
        <f>IF(OR($D39="",$E39=""),"",MAX(0,$E39-$D39))</f>
        <v/>
      </c>
    </row>
    <row r="40">
      <c r="G40" s="11">
        <f>IF(OR($D40="",$E40=""),"",MAX(0,$E40-$D40))</f>
        <v/>
      </c>
    </row>
    <row r="41">
      <c r="G41" s="11">
        <f>IF(OR($D41="",$E41=""),"",MAX(0,$E41-$D41))</f>
        <v/>
      </c>
    </row>
    <row r="42">
      <c r="G42" s="11">
        <f>IF(OR($D42="",$E42=""),"",MAX(0,$E42-$D42))</f>
        <v/>
      </c>
    </row>
    <row r="43">
      <c r="G43" s="11">
        <f>IF(OR($D43="",$E43=""),"",MAX(0,$E43-$D43))</f>
        <v/>
      </c>
    </row>
    <row r="44">
      <c r="G44" s="11">
        <f>IF(OR($D44="",$E44=""),"",MAX(0,$E44-$D44))</f>
        <v/>
      </c>
    </row>
    <row r="45">
      <c r="G45" s="11">
        <f>IF(OR($D45="",$E45=""),"",MAX(0,$E45-$D45))</f>
        <v/>
      </c>
    </row>
    <row r="46">
      <c r="G46" s="11">
        <f>IF(OR($D46="",$E46=""),"",MAX(0,$E46-$D46))</f>
        <v/>
      </c>
    </row>
    <row r="47">
      <c r="G47" s="11">
        <f>IF(OR($D47="",$E47=""),"",MAX(0,$E47-$D47))</f>
        <v/>
      </c>
    </row>
    <row r="48">
      <c r="G48" s="11">
        <f>IF(OR($D48="",$E48=""),"",MAX(0,$E48-$D48))</f>
        <v/>
      </c>
    </row>
    <row r="49">
      <c r="G49" s="11">
        <f>IF(OR($D49="",$E49=""),"",MAX(0,$E49-$D49))</f>
        <v/>
      </c>
    </row>
    <row r="50">
      <c r="G50" s="11">
        <f>IF(OR($D50="",$E50=""),"",MAX(0,$E50-$D50))</f>
        <v/>
      </c>
    </row>
    <row r="51">
      <c r="G51" s="11">
        <f>IF(OR($D51="",$E51=""),"",MAX(0,$E51-$D51))</f>
        <v/>
      </c>
    </row>
    <row r="52">
      <c r="G52" s="11">
        <f>IF(OR($D52="",$E52=""),"",MAX(0,$E52-$D52))</f>
        <v/>
      </c>
    </row>
    <row r="53">
      <c r="G53" s="11">
        <f>IF(OR($D53="",$E53=""),"",MAX(0,$E53-$D53))</f>
        <v/>
      </c>
    </row>
    <row r="54">
      <c r="G54" s="11">
        <f>IF(OR($D54="",$E54=""),"",MAX(0,$E54-$D54))</f>
        <v/>
      </c>
    </row>
    <row r="55">
      <c r="G55" s="11">
        <f>IF(OR($D55="",$E55=""),"",MAX(0,$E55-$D55))</f>
        <v/>
      </c>
    </row>
    <row r="56">
      <c r="G56" s="11">
        <f>IF(OR($D56="",$E56=""),"",MAX(0,$E56-$D56))</f>
        <v/>
      </c>
    </row>
    <row r="57">
      <c r="G57" s="11">
        <f>IF(OR($D57="",$E57=""),"",MAX(0,$E57-$D57))</f>
        <v/>
      </c>
    </row>
    <row r="58">
      <c r="G58" s="11">
        <f>IF(OR($D58="",$E58=""),"",MAX(0,$E58-$D58))</f>
        <v/>
      </c>
    </row>
    <row r="59">
      <c r="G59" s="11">
        <f>IF(OR($D59="",$E59=""),"",MAX(0,$E59-$D59))</f>
        <v/>
      </c>
    </row>
    <row r="60">
      <c r="G60" s="11">
        <f>IF(OR($D60="",$E60=""),"",MAX(0,$E60-$D60))</f>
        <v/>
      </c>
    </row>
    <row r="61">
      <c r="G61" s="11">
        <f>IF(OR($D61="",$E61=""),"",MAX(0,$E61-$D61))</f>
        <v/>
      </c>
    </row>
    <row r="62">
      <c r="G62" s="11">
        <f>IF(OR($D62="",$E62=""),"",MAX(0,$E62-$D62))</f>
        <v/>
      </c>
    </row>
    <row r="63">
      <c r="G63" s="11">
        <f>IF(OR($D63="",$E63=""),"",MAX(0,$E63-$D63))</f>
        <v/>
      </c>
    </row>
    <row r="64">
      <c r="G64" s="11">
        <f>IF(OR($D64="",$E64=""),"",MAX(0,$E64-$D64))</f>
        <v/>
      </c>
    </row>
    <row r="65">
      <c r="G65" s="11">
        <f>IF(OR($D65="",$E65=""),"",MAX(0,$E65-$D65))</f>
        <v/>
      </c>
    </row>
    <row r="66">
      <c r="G66" s="11">
        <f>IF(OR($D66="",$E66=""),"",MAX(0,$E66-$D66))</f>
        <v/>
      </c>
    </row>
    <row r="67">
      <c r="G67" s="11">
        <f>IF(OR($D67="",$E67=""),"",MAX(0,$E67-$D67))</f>
        <v/>
      </c>
    </row>
    <row r="68">
      <c r="G68" s="11">
        <f>IF(OR($D68="",$E68=""),"",MAX(0,$E68-$D68))</f>
        <v/>
      </c>
    </row>
    <row r="69">
      <c r="G69" s="11">
        <f>IF(OR($D69="",$E69=""),"",MAX(0,$E69-$D69))</f>
        <v/>
      </c>
    </row>
    <row r="70">
      <c r="G70" s="11">
        <f>IF(OR($D70="",$E70=""),"",MAX(0,$E70-$D70))</f>
        <v/>
      </c>
    </row>
    <row r="71">
      <c r="G71" s="11">
        <f>IF(OR($D71="",$E71=""),"",MAX(0,$E71-$D71))</f>
        <v/>
      </c>
    </row>
    <row r="72">
      <c r="G72" s="11">
        <f>IF(OR($D72="",$E72=""),"",MAX(0,$E72-$D72))</f>
        <v/>
      </c>
    </row>
    <row r="73">
      <c r="G73" s="11">
        <f>IF(OR($D73="",$E73=""),"",MAX(0,$E73-$D73))</f>
        <v/>
      </c>
    </row>
    <row r="74">
      <c r="G74" s="11">
        <f>IF(OR($D74="",$E74=""),"",MAX(0,$E74-$D74))</f>
        <v/>
      </c>
    </row>
    <row r="75">
      <c r="G75" s="11">
        <f>IF(OR($D75="",$E75=""),"",MAX(0,$E75-$D75))</f>
        <v/>
      </c>
    </row>
    <row r="76">
      <c r="G76" s="11">
        <f>IF(OR($D76="",$E76=""),"",MAX(0,$E76-$D76))</f>
        <v/>
      </c>
    </row>
    <row r="77">
      <c r="G77" s="11">
        <f>IF(OR($D77="",$E77=""),"",MAX(0,$E77-$D77))</f>
        <v/>
      </c>
    </row>
    <row r="78">
      <c r="G78" s="11">
        <f>IF(OR($D78="",$E78=""),"",MAX(0,$E78-$D78))</f>
        <v/>
      </c>
    </row>
    <row r="79">
      <c r="G79" s="11">
        <f>IF(OR($D79="",$E79=""),"",MAX(0,$E79-$D79))</f>
        <v/>
      </c>
    </row>
    <row r="80">
      <c r="G80" s="11">
        <f>IF(OR($D80="",$E80=""),"",MAX(0,$E80-$D80))</f>
        <v/>
      </c>
    </row>
    <row r="81">
      <c r="G81" s="11">
        <f>IF(OR($D81="",$E81=""),"",MAX(0,$E81-$D81))</f>
        <v/>
      </c>
    </row>
    <row r="82">
      <c r="G82" s="11">
        <f>IF(OR($D82="",$E82=""),"",MAX(0,$E82-$D82))</f>
        <v/>
      </c>
    </row>
    <row r="83">
      <c r="G83" s="11">
        <f>IF(OR($D83="",$E83=""),"",MAX(0,$E83-$D83))</f>
        <v/>
      </c>
    </row>
    <row r="84">
      <c r="G84" s="11">
        <f>IF(OR($D84="",$E84=""),"",MAX(0,$E84-$D84))</f>
        <v/>
      </c>
    </row>
    <row r="85">
      <c r="G85" s="11">
        <f>IF(OR($D85="",$E85=""),"",MAX(0,$E85-$D85))</f>
        <v/>
      </c>
    </row>
    <row r="86">
      <c r="G86" s="11">
        <f>IF(OR($D86="",$E86=""),"",MAX(0,$E86-$D86))</f>
        <v/>
      </c>
    </row>
    <row r="87">
      <c r="G87" s="11">
        <f>IF(OR($D87="",$E87=""),"",MAX(0,$E87-$D87))</f>
        <v/>
      </c>
    </row>
    <row r="88">
      <c r="G88" s="11">
        <f>IF(OR($D88="",$E88=""),"",MAX(0,$E88-$D88))</f>
        <v/>
      </c>
    </row>
    <row r="89">
      <c r="G89" s="11">
        <f>IF(OR($D89="",$E89=""),"",MAX(0,$E89-$D89))</f>
        <v/>
      </c>
    </row>
    <row r="90">
      <c r="G90" s="11">
        <f>IF(OR($D90="",$E90=""),"",MAX(0,$E90-$D90))</f>
        <v/>
      </c>
    </row>
    <row r="91">
      <c r="G91" s="11">
        <f>IF(OR($D91="",$E91=""),"",MAX(0,$E91-$D91))</f>
        <v/>
      </c>
    </row>
    <row r="92">
      <c r="G92" s="11">
        <f>IF(OR($D92="",$E92=""),"",MAX(0,$E92-$D92))</f>
        <v/>
      </c>
    </row>
    <row r="93">
      <c r="G93" s="11">
        <f>IF(OR($D93="",$E93=""),"",MAX(0,$E93-$D93))</f>
        <v/>
      </c>
    </row>
    <row r="94">
      <c r="G94" s="11">
        <f>IF(OR($D94="",$E94=""),"",MAX(0,$E94-$D94))</f>
        <v/>
      </c>
    </row>
    <row r="95">
      <c r="G95" s="11">
        <f>IF(OR($D95="",$E95=""),"",MAX(0,$E95-$D95))</f>
        <v/>
      </c>
    </row>
    <row r="96">
      <c r="G96" s="11">
        <f>IF(OR($D96="",$E96=""),"",MAX(0,$E96-$D96))</f>
        <v/>
      </c>
    </row>
    <row r="97">
      <c r="G97" s="11">
        <f>IF(OR($D97="",$E97=""),"",MAX(0,$E97-$D97))</f>
        <v/>
      </c>
    </row>
    <row r="98">
      <c r="G98" s="11">
        <f>IF(OR($D98="",$E98=""),"",MAX(0,$E98-$D98))</f>
        <v/>
      </c>
    </row>
    <row r="99">
      <c r="G99" s="11">
        <f>IF(OR($D99="",$E99=""),"",MAX(0,$E99-$D99))</f>
        <v/>
      </c>
    </row>
    <row r="100">
      <c r="G100" s="11">
        <f>IF(OR($D100="",$E100=""),"",MAX(0,$E100-$D100))</f>
        <v/>
      </c>
    </row>
    <row r="101">
      <c r="G101" s="11">
        <f>IF(OR($D101="",$E101=""),"",MAX(0,$E101-$D101))</f>
        <v/>
      </c>
    </row>
    <row r="102">
      <c r="G102" s="11">
        <f>IF(OR($D102="",$E102=""),"",MAX(0,$E102-$D102))</f>
        <v/>
      </c>
    </row>
    <row r="103">
      <c r="G103" s="11">
        <f>IF(OR($D103="",$E103=""),"",MAX(0,$E103-$D103))</f>
        <v/>
      </c>
    </row>
    <row r="104">
      <c r="G104" s="11">
        <f>IF(OR($D104="",$E104=""),"",MAX(0,$E104-$D104))</f>
        <v/>
      </c>
    </row>
    <row r="105">
      <c r="G105" s="11">
        <f>IF(OR($D105="",$E105=""),"",MAX(0,$E105-$D105))</f>
        <v/>
      </c>
    </row>
    <row r="106">
      <c r="G106" s="11">
        <f>IF(OR($D106="",$E106=""),"",MAX(0,$E106-$D106))</f>
        <v/>
      </c>
    </row>
    <row r="107">
      <c r="G107" s="11">
        <f>IF(OR($D107="",$E107=""),"",MAX(0,$E107-$D107))</f>
        <v/>
      </c>
    </row>
    <row r="108">
      <c r="G108" s="11">
        <f>IF(OR($D108="",$E108=""),"",MAX(0,$E108-$D108))</f>
        <v/>
      </c>
    </row>
    <row r="109">
      <c r="G109" s="11">
        <f>IF(OR($D109="",$E109=""),"",MAX(0,$E109-$D109))</f>
        <v/>
      </c>
    </row>
    <row r="110">
      <c r="G110" s="11">
        <f>IF(OR($D110="",$E110=""),"",MAX(0,$E110-$D110))</f>
        <v/>
      </c>
    </row>
    <row r="111">
      <c r="G111" s="11">
        <f>IF(OR($D111="",$E111=""),"",MAX(0,$E111-$D111))</f>
        <v/>
      </c>
    </row>
    <row r="112">
      <c r="G112" s="11">
        <f>IF(OR($D112="",$E112=""),"",MAX(0,$E112-$D112))</f>
        <v/>
      </c>
    </row>
    <row r="113">
      <c r="G113" s="11">
        <f>IF(OR($D113="",$E113=""),"",MAX(0,$E113-$D113))</f>
        <v/>
      </c>
    </row>
    <row r="114">
      <c r="G114" s="11">
        <f>IF(OR($D114="",$E114=""),"",MAX(0,$E114-$D114))</f>
        <v/>
      </c>
    </row>
    <row r="115">
      <c r="G115" s="11">
        <f>IF(OR($D115="",$E115=""),"",MAX(0,$E115-$D115))</f>
        <v/>
      </c>
    </row>
    <row r="116">
      <c r="G116" s="11">
        <f>IF(OR($D116="",$E116=""),"",MAX(0,$E116-$D116))</f>
        <v/>
      </c>
    </row>
    <row r="117">
      <c r="G117" s="11">
        <f>IF(OR($D117="",$E117=""),"",MAX(0,$E117-$D117))</f>
        <v/>
      </c>
    </row>
    <row r="118">
      <c r="G118" s="11">
        <f>IF(OR($D118="",$E118=""),"",MAX(0,$E118-$D118))</f>
        <v/>
      </c>
    </row>
    <row r="119">
      <c r="G119" s="11">
        <f>IF(OR($D119="",$E119=""),"",MAX(0,$E119-$D119))</f>
        <v/>
      </c>
    </row>
    <row r="120">
      <c r="G120" s="11">
        <f>IF(OR($D120="",$E120=""),"",MAX(0,$E120-$D120))</f>
        <v/>
      </c>
    </row>
  </sheetData>
  <dataValidations count="3">
    <dataValidation sqref="A2:A120" showDropDown="0" showInputMessage="0" showErrorMessage="0" allowBlank="1" type="list">
      <formula1>=Clients!$A$2:$A$7</formula1>
    </dataValidation>
    <dataValidation sqref="B2:B120" showDropDown="0" showInputMessage="0" showErrorMessage="0" allowBlank="1" type="list">
      <formula1>"Bank rec,Credit cards,AR review,AP cutoff,Accruals,Payroll tie-out,Financials draft,Partner review,Delivered"</formula1>
    </dataValidation>
    <dataValidation sqref="F2:F120" showDropDown="0" showInputMessage="0" showErrorMessage="0" allowBlank="1" type="list">
      <formula1>"Not started,In progress,Blocked,Done"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9" customWidth="1" min="4" max="4"/>
    <col width="12" customWidth="1" min="5" max="5"/>
    <col width="10" customWidth="1" min="6" max="6"/>
    <col width="20" customWidth="1" min="7" max="7"/>
    <col width="16" customWidth="1" min="8" max="8"/>
  </cols>
  <sheetData>
    <row r="1">
      <c r="A1" s="5" t="inlineStr">
        <is>
          <t>Client</t>
        </is>
      </c>
      <c r="B1" s="6" t="inlineStr">
        <is>
          <t>Target Days</t>
        </is>
      </c>
      <c r="C1" s="6" t="inlineStr">
        <is>
          <t>Tasks Total</t>
        </is>
      </c>
      <c r="D1" s="6" t="inlineStr">
        <is>
          <t>Done</t>
        </is>
      </c>
      <c r="E1" s="6" t="inlineStr">
        <is>
          <t>% Complete</t>
        </is>
      </c>
      <c r="F1" s="6" t="inlineStr">
        <is>
          <t>Blocked</t>
        </is>
      </c>
      <c r="G1" s="6" t="inlineStr">
        <is>
          <t>Days to Close So Far</t>
        </is>
      </c>
      <c r="H1" s="6" t="inlineStr">
        <is>
          <t>Vs Target (days)</t>
        </is>
      </c>
    </row>
    <row r="2">
      <c r="A2" s="12">
        <f>Clients!A2</f>
        <v/>
      </c>
      <c r="B2" s="10">
        <f>VLOOKUP($A2,Clients!$A:$E,5,FALSE)</f>
        <v/>
      </c>
      <c r="C2" s="10">
        <f>COUNTIF('Close Tracker'!$A:$A,$A2)</f>
        <v/>
      </c>
      <c r="D2" s="10">
        <f>COUNTIFS('Close Tracker'!$A:$A,$A2,'Close Tracker'!$F:$F,"Done")</f>
        <v/>
      </c>
      <c r="E2" s="13">
        <f>IF(C2=0,"",D2/C2)</f>
        <v/>
      </c>
      <c r="F2" s="10">
        <f>COUNTIFS('Close Tracker'!$A:$A,$A2,'Close Tracker'!$F:$F,"Blocked")</f>
        <v/>
      </c>
      <c r="G2" s="10">
        <f>IF(COUNTIFS('Close Tracker'!$A:$A,$A2,'Close Tracker'!$E:$E,"&lt;&gt;")=0,"",MAXIFS('Close Tracker'!$E:$E,'Close Tracker'!$A:$A,$A2)-MINIFS('Close Tracker'!$D:$D,'Close Tracker'!$A:$A,$A2))</f>
        <v/>
      </c>
      <c r="H2" s="14">
        <f>IF($G2="","",$G2-$B2)</f>
        <v/>
      </c>
    </row>
    <row r="3">
      <c r="A3" s="12">
        <f>Clients!A3</f>
        <v/>
      </c>
      <c r="B3" s="10">
        <f>VLOOKUP($A3,Clients!$A:$E,5,FALSE)</f>
        <v/>
      </c>
      <c r="C3" s="10">
        <f>COUNTIF('Close Tracker'!$A:$A,$A3)</f>
        <v/>
      </c>
      <c r="D3" s="10">
        <f>COUNTIFS('Close Tracker'!$A:$A,$A3,'Close Tracker'!$F:$F,"Done")</f>
        <v/>
      </c>
      <c r="E3" s="13">
        <f>IF(C3=0,"",D3/C3)</f>
        <v/>
      </c>
      <c r="F3" s="10">
        <f>COUNTIFS('Close Tracker'!$A:$A,$A3,'Close Tracker'!$F:$F,"Blocked")</f>
        <v/>
      </c>
      <c r="G3" s="10">
        <f>IF(COUNTIFS('Close Tracker'!$A:$A,$A3,'Close Tracker'!$E:$E,"&lt;&gt;")=0,"",MAXIFS('Close Tracker'!$E:$E,'Close Tracker'!$A:$A,$A3)-MINIFS('Close Tracker'!$D:$D,'Close Tracker'!$A:$A,$A3))</f>
        <v/>
      </c>
      <c r="H3" s="14">
        <f>IF($G3="","",$G3-$B3)</f>
        <v/>
      </c>
    </row>
    <row r="4">
      <c r="A4" s="12">
        <f>Clients!A4</f>
        <v/>
      </c>
      <c r="B4" s="10">
        <f>VLOOKUP($A4,Clients!$A:$E,5,FALSE)</f>
        <v/>
      </c>
      <c r="C4" s="10">
        <f>COUNTIF('Close Tracker'!$A:$A,$A4)</f>
        <v/>
      </c>
      <c r="D4" s="10">
        <f>COUNTIFS('Close Tracker'!$A:$A,$A4,'Close Tracker'!$F:$F,"Done")</f>
        <v/>
      </c>
      <c r="E4" s="13">
        <f>IF(C4=0,"",D4/C4)</f>
        <v/>
      </c>
      <c r="F4" s="10">
        <f>COUNTIFS('Close Tracker'!$A:$A,$A4,'Close Tracker'!$F:$F,"Blocked")</f>
        <v/>
      </c>
      <c r="G4" s="10">
        <f>IF(COUNTIFS('Close Tracker'!$A:$A,$A4,'Close Tracker'!$E:$E,"&lt;&gt;")=0,"",MAXIFS('Close Tracker'!$E:$E,'Close Tracker'!$A:$A,$A4)-MINIFS('Close Tracker'!$D:$D,'Close Tracker'!$A:$A,$A4))</f>
        <v/>
      </c>
      <c r="H4" s="14">
        <f>IF($G4="","",$G4-$B4)</f>
        <v/>
      </c>
    </row>
    <row r="5">
      <c r="A5" s="12">
        <f>Clients!A5</f>
        <v/>
      </c>
      <c r="B5" s="10">
        <f>VLOOKUP($A5,Clients!$A:$E,5,FALSE)</f>
        <v/>
      </c>
      <c r="C5" s="10">
        <f>COUNTIF('Close Tracker'!$A:$A,$A5)</f>
        <v/>
      </c>
      <c r="D5" s="10">
        <f>COUNTIFS('Close Tracker'!$A:$A,$A5,'Close Tracker'!$F:$F,"Done")</f>
        <v/>
      </c>
      <c r="E5" s="13">
        <f>IF(C5=0,"",D5/C5)</f>
        <v/>
      </c>
      <c r="F5" s="10">
        <f>COUNTIFS('Close Tracker'!$A:$A,$A5,'Close Tracker'!$F:$F,"Blocked")</f>
        <v/>
      </c>
      <c r="G5" s="10">
        <f>IF(COUNTIFS('Close Tracker'!$A:$A,$A5,'Close Tracker'!$E:$E,"&lt;&gt;")=0,"",MAXIFS('Close Tracker'!$E:$E,'Close Tracker'!$A:$A,$A5)-MINIFS('Close Tracker'!$D:$D,'Close Tracker'!$A:$A,$A5))</f>
        <v/>
      </c>
      <c r="H5" s="14">
        <f>IF($G5="","",$G5-$B5)</f>
        <v/>
      </c>
    </row>
    <row r="6">
      <c r="A6" s="12">
        <f>Clients!A6</f>
        <v/>
      </c>
      <c r="B6" s="10">
        <f>VLOOKUP($A6,Clients!$A:$E,5,FALSE)</f>
        <v/>
      </c>
      <c r="C6" s="10">
        <f>COUNTIF('Close Tracker'!$A:$A,$A6)</f>
        <v/>
      </c>
      <c r="D6" s="10">
        <f>COUNTIFS('Close Tracker'!$A:$A,$A6,'Close Tracker'!$F:$F,"Done")</f>
        <v/>
      </c>
      <c r="E6" s="13">
        <f>IF(C6=0,"",D6/C6)</f>
        <v/>
      </c>
      <c r="F6" s="10">
        <f>COUNTIFS('Close Tracker'!$A:$A,$A6,'Close Tracker'!$F:$F,"Blocked")</f>
        <v/>
      </c>
      <c r="G6" s="10">
        <f>IF(COUNTIFS('Close Tracker'!$A:$A,$A6,'Close Tracker'!$E:$E,"&lt;&gt;")=0,"",MAXIFS('Close Tracker'!$E:$E,'Close Tracker'!$A:$A,$A6)-MINIFS('Close Tracker'!$D:$D,'Close Tracker'!$A:$A,$A6))</f>
        <v/>
      </c>
      <c r="H6" s="14">
        <f>IF($G6="","",$G6-$B6)</f>
        <v/>
      </c>
    </row>
    <row r="7">
      <c r="A7" s="12">
        <f>Clients!A7</f>
        <v/>
      </c>
      <c r="B7" s="10">
        <f>VLOOKUP($A7,Clients!$A:$E,5,FALSE)</f>
        <v/>
      </c>
      <c r="C7" s="10">
        <f>COUNTIF('Close Tracker'!$A:$A,$A7)</f>
        <v/>
      </c>
      <c r="D7" s="10">
        <f>COUNTIFS('Close Tracker'!$A:$A,$A7,'Close Tracker'!$F:$F,"Done")</f>
        <v/>
      </c>
      <c r="E7" s="13">
        <f>IF(C7=0,"",D7/C7)</f>
        <v/>
      </c>
      <c r="F7" s="10">
        <f>COUNTIFS('Close Tracker'!$A:$A,$A7,'Close Tracker'!$F:$F,"Blocked")</f>
        <v/>
      </c>
      <c r="G7" s="10">
        <f>IF(COUNTIFS('Close Tracker'!$A:$A,$A7,'Close Tracker'!$E:$E,"&lt;&gt;")=0,"",MAXIFS('Close Tracker'!$E:$E,'Close Tracker'!$A:$A,$A7)-MINIFS('Close Tracker'!$D:$D,'Close Tracker'!$A:$A,$A7))</f>
        <v/>
      </c>
      <c r="H7" s="14">
        <f>IF($G7="","",$G7-$B7)</f>
        <v/>
      </c>
    </row>
    <row r="8">
      <c r="A8" s="15" t="inlineStr">
        <is>
          <t>Firm total</t>
        </is>
      </c>
      <c r="B8" s="16" t="n"/>
      <c r="C8" s="16">
        <f>SUM(C2:C7)</f>
        <v/>
      </c>
      <c r="D8" s="16">
        <f>SUM(D2:D7)</f>
        <v/>
      </c>
      <c r="E8" s="17">
        <f>IF(C8=0,"",D8/C8)</f>
        <v/>
      </c>
      <c r="F8" s="16">
        <f>SUM(F2:F7)</f>
        <v/>
      </c>
      <c r="G8" s="16">
        <f>IFERROR(AVERAGE(G2:G7),"")</f>
        <v/>
      </c>
      <c r="H8" s="18">
        <f>IFERROR(AVERAGE(H2:H7),"")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2026-07-19T11:01:58Z</dcterms:created>
  <dcterms:modified xsi:type="dcterms:W3CDTF">2026-07-19T11:01:58Z</dcterms:modified>
</cp:coreProperties>
</file>