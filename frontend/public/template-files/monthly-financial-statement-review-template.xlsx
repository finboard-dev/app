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art Here" state="visible" r:id="rId4"/>
    <sheet sheetId="2" name="Paste Import" state="visible" r:id="rId5"/>
    <sheet sheetId="3" name="Manual Input" state="visible" r:id="rId6"/>
    <sheet sheetId="4" name="Review" state="visible" r:id="rId7"/>
    <sheet sheetId="5" name="Summary" state="visible" r:id="rId8"/>
    <sheet sheetId="6" name="Lists" state="visible" r:id="rId9"/>
  </sheets>
  <definedNames>
    <definedName name="_xlnm.Print_Area" localSheetId="4">'Summary'!$A1:$H20</definedName>
  </definedNames>
  <calcPr calcId="171027" fullCalcOnLoad="1"/>
</workbook>
</file>

<file path=xl/sharedStrings.xml><?xml version="1.0" encoding="utf-8"?>
<sst xmlns="http://schemas.openxmlformats.org/spreadsheetml/2006/main" count="232" uniqueCount="102">
  <si>
    <t>Monthly Financial Statement Review</t>
  </si>
  <si>
    <t>Client Name</t>
  </si>
  <si>
    <t>Northstar Components LLC</t>
  </si>
  <si>
    <t>Period End</t>
  </si>
  <si>
    <t>Prepared By</t>
  </si>
  <si>
    <t>Taylor Morgan</t>
  </si>
  <si>
    <t>Review Date</t>
  </si>
  <si>
    <t>Input Mode</t>
  </si>
  <si>
    <t>Paste Import</t>
  </si>
  <si>
    <t>Currency</t>
  </si>
  <si>
    <t>USD</t>
  </si>
  <si>
    <t>Materiality Amount</t>
  </si>
  <si>
    <t>Materiality Percentage</t>
  </si>
  <si>
    <t>Workflow</t>
  </si>
  <si>
    <t>1. Confirm client, period, preparer, input mode, and materiality settings.</t>
  </si>
  <si>
    <t>2. Paste a trial balance or enter it manually in the blue input table.</t>
  </si>
  <si>
    <t>3. Review formula-driven period and budget variances; document exceptions.</t>
  </si>
  <si>
    <t>4. Print or export the Summary after all Review flags are resolved.</t>
  </si>
  <si>
    <t>Color</t>
  </si>
  <si>
    <t>Meaning</t>
  </si>
  <si>
    <t>Blue text</t>
  </si>
  <si>
    <t>Editable input</t>
  </si>
  <si>
    <t>Black text</t>
  </si>
  <si>
    <t>Formula or calculated result</t>
  </si>
  <si>
    <t>Amber or red</t>
  </si>
  <si>
    <t>Review item or failed control</t>
  </si>
  <si>
    <t>Paste Import — Monthly Trial Balance</t>
  </si>
  <si>
    <t>Enter or paste values in blue cells. Do not add rows beyond row 105.</t>
  </si>
  <si>
    <t>Statement</t>
  </si>
  <si>
    <t>Account Number</t>
  </si>
  <si>
    <t>Account Name</t>
  </si>
  <si>
    <t>Account Type</t>
  </si>
  <si>
    <t>Current Period</t>
  </si>
  <si>
    <t>Prior Period</t>
  </si>
  <si>
    <t>Budget</t>
  </si>
  <si>
    <t>Review Category</t>
  </si>
  <si>
    <t>Income Statement</t>
  </si>
  <si>
    <t>4000</t>
  </si>
  <si>
    <t>Product Revenue</t>
  </si>
  <si>
    <t>Income</t>
  </si>
  <si>
    <t>Revenue</t>
  </si>
  <si>
    <t>4010</t>
  </si>
  <si>
    <t>Service Revenue</t>
  </si>
  <si>
    <t>5000</t>
  </si>
  <si>
    <t>Materials</t>
  </si>
  <si>
    <t>Cost of Goods Sold</t>
  </si>
  <si>
    <t>6100</t>
  </si>
  <si>
    <t>Payroll</t>
  </si>
  <si>
    <t>Expense</t>
  </si>
  <si>
    <t>Operating Expense</t>
  </si>
  <si>
    <t>6200</t>
  </si>
  <si>
    <t>Marketing</t>
  </si>
  <si>
    <t>6300</t>
  </si>
  <si>
    <t>Rent</t>
  </si>
  <si>
    <t>Balance Sheet</t>
  </si>
  <si>
    <t>1000</t>
  </si>
  <si>
    <t>Operating Cash</t>
  </si>
  <si>
    <t>Bank</t>
  </si>
  <si>
    <t>Cash</t>
  </si>
  <si>
    <t>1100</t>
  </si>
  <si>
    <t>Accounts Receivable</t>
  </si>
  <si>
    <t>1200</t>
  </si>
  <si>
    <t>Prepaid Expenses</t>
  </si>
  <si>
    <t>Other Current Asset</t>
  </si>
  <si>
    <t>Current Assets</t>
  </si>
  <si>
    <t>2000</t>
  </si>
  <si>
    <t>Accounts Payable</t>
  </si>
  <si>
    <t>2100</t>
  </si>
  <si>
    <t>Accrued Payroll</t>
  </si>
  <si>
    <t>Other Current Liability</t>
  </si>
  <si>
    <t>Current Liabilities</t>
  </si>
  <si>
    <t>2200</t>
  </si>
  <si>
    <t>Sales Tax Payable</t>
  </si>
  <si>
    <t>Manual Input — Monthly Trial Balance</t>
  </si>
  <si>
    <t>Formula-driven comparison. Add reviewer notes only in column N.</t>
  </si>
  <si>
    <t>Current</t>
  </si>
  <si>
    <t>Prior</t>
  </si>
  <si>
    <t>Change $</t>
  </si>
  <si>
    <t>Change %</t>
  </si>
  <si>
    <t>Budget Var $</t>
  </si>
  <si>
    <t>Budget Var %</t>
  </si>
  <si>
    <t>Flag</t>
  </si>
  <si>
    <t>Notes</t>
  </si>
  <si>
    <t>Exception Score</t>
  </si>
  <si>
    <t>Monthly Financial Review — Executive Summary</t>
  </si>
  <si>
    <t>Decision-ready KPIs and the five largest exceptions</t>
  </si>
  <si>
    <t>Client</t>
  </si>
  <si>
    <t>Status</t>
  </si>
  <si>
    <t>Gross Profit</t>
  </si>
  <si>
    <t>Operating Income</t>
  </si>
  <si>
    <t>Net Income</t>
  </si>
  <si>
    <t>Working Capital</t>
  </si>
  <si>
    <t>Exception Count</t>
  </si>
  <si>
    <t>Top Five Exceptions</t>
  </si>
  <si>
    <t>Rank</t>
  </si>
  <si>
    <t>Account</t>
  </si>
  <si>
    <t>Category</t>
  </si>
  <si>
    <t>Reviewer Notes</t>
  </si>
  <si>
    <t>Manual Input</t>
  </si>
  <si>
    <t>Other Income</t>
  </si>
  <si>
    <t>Other Expense</t>
  </si>
  <si>
    <t>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</si>
</sst>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mmm d, yyyy"/>
    <numFmt numFmtId="165" formatCode="$#,##0;[Red]($#,##0);-"/>
    <numFmt numFmtId="166" formatCode="0.0%"/>
  </numFmts>
  <fonts count="10" x14ac:knownFonts="1">
    <font>
      <color theme="1"/>
      <family val="2"/>
      <scheme val="minor"/>
      <sz val="11"/>
      <name val="Calibri"/>
    </font>
    <font>
      <b/>
      <color rgb="FFFFFFFF"/>
      <sz val="20"/>
      <name val="Aptos Display"/>
    </font>
    <font>
      <color rgb="FF0000FF"/>
      <sz val="10"/>
      <name val="Aptos"/>
    </font>
    <font>
      <b/>
      <color rgb="FFFFFFFF"/>
    </font>
    <font>
      <i/>
      <color rgb="FF6B7280"/>
    </font>
    <font>
      <b/>
      <color rgb="FFFFFFFF"/>
      <sz val="10"/>
      <name val="Aptos"/>
    </font>
    <font>
      <color rgb="FF0000FF"/>
    </font>
    <font>
      <b/>
      <color rgb="FFD97706"/>
    </font>
    <font>
      <b/>
      <color rgb="FF6B7280"/>
    </font>
    <font>
      <b/>
      <color rgb="FF111827"/>
      <sz val="18"/>
    </font>
  </fonts>
  <fills count="7">
    <fill>
      <patternFill patternType="none"/>
    </fill>
    <fill>
      <patternFill patternType="gray125"/>
    </fill>
    <fill>
      <patternFill patternType="solid">
        <fgColor rgb="FF111827"/>
      </patternFill>
    </fill>
    <fill>
      <patternFill patternType="solid">
        <fgColor rgb="FFEFF6FF"/>
      </patternFill>
    </fill>
    <fill>
      <patternFill patternType="solid">
        <fgColor rgb="FF2563EB"/>
      </patternFill>
    </fill>
    <fill>
      <patternFill patternType="solid">
        <fgColor rgb="FFFEF3C7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/>
      <right/>
      <top/>
      <bottom style="thin">
        <color rgb="FFD1D5DB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0" xfId="0" applyFont="1" applyFill="1" applyAlignment="1">
      <alignment vertical="center"/>
    </xf>
    <xf numFmtId="0" fontId="2" fillId="3" borderId="1" xfId="0" applyFont="1" applyFill="1" applyBorder="1"/>
    <xf numFmtId="164" fontId="2" fillId="3" borderId="1" xfId="0" applyNumberFormat="1" applyFont="1" applyFill="1" applyBorder="1"/>
    <xf numFmtId="165" fontId="2" fillId="3" borderId="1" xfId="0" applyNumberFormat="1" applyFont="1" applyFill="1" applyBorder="1"/>
    <xf numFmtId="166" fontId="2" fillId="3" borderId="1" xfId="0" applyNumberFormat="1" applyFont="1" applyFill="1" applyBorder="1"/>
    <xf numFmtId="0" fontId="3" fillId="4" borderId="0" xfId="0" applyFont="1" applyFill="1"/>
    <xf numFmtId="0" fontId="0" fillId="0" borderId="0" xfId="0" applyAlignment="1">
      <alignment vertical="center" wrapText="1"/>
    </xf>
    <xf numFmtId="0" fontId="3" fillId="2" borderId="0" xfId="0" applyFont="1" applyFill="1"/>
    <xf numFmtId="165" fontId="0" fillId="0" borderId="0" xfId="0" applyNumberFormat="1"/>
    <xf numFmtId="165" fontId="1" fillId="2" borderId="0" xfId="0" applyNumberFormat="1" applyFont="1" applyFill="1" applyAlignment="1">
      <alignment vertical="center"/>
    </xf>
    <xf numFmtId="165" fontId="4" fillId="0" borderId="0" xfId="0" applyNumberFormat="1" applyFont="1"/>
    <xf numFmtId="0" fontId="5" fillId="2" borderId="2" xfId="0" applyFont="1" applyFill="1" applyBorder="1" applyAlignment="1">
      <alignment vertical="center" wrapText="1"/>
    </xf>
    <xf numFmtId="165" fontId="5" fillId="2" borderId="2" xfId="0" applyNumberFormat="1" applyFont="1" applyFill="1" applyBorder="1" applyAlignment="1">
      <alignment vertical="center" wrapText="1"/>
    </xf>
    <xf numFmtId="166" fontId="0" fillId="0" borderId="0" xfId="0" applyNumberFormat="1"/>
    <xf numFmtId="0" fontId="6" fillId="3" borderId="0" xfId="0" applyFont="1" applyFill="1"/>
    <xf numFmtId="0" fontId="4" fillId="0" borderId="0" xfId="0" applyFont="1"/>
    <xf numFmtId="0" fontId="0" fillId="0" borderId="2" xfId="0" applyBorder="1"/>
    <xf numFmtId="0" fontId="7" fillId="5" borderId="2" xfId="0" applyFont="1" applyFill="1" applyBorder="1"/>
    <xf numFmtId="0" fontId="8" fillId="3" borderId="2" xfId="0" applyFont="1" applyFill="1" applyBorder="1"/>
    <xf numFmtId="165" fontId="9" fillId="6" borderId="2" xfId="0" applyNumberFormat="1" applyFont="1" applyFill="1" applyBorder="1"/>
    <xf numFmtId="1" fontId="9" fillId="6" borderId="2" xfId="0" applyNumberFormat="1" applyFont="1" applyFill="1" applyBorder="1"/>
    <xf numFmtId="0" fontId="3" fillId="2" borderId="2" xfId="0" applyFont="1" applyFill="1" applyBorder="1"/>
    <xf numFmtId="0" fontId="3" fillId="4" borderId="2" xfId="0" applyFont="1" applyFill="1" applyBorder="1"/>
    <xf numFmtId="165" fontId="0" fillId="0" borderId="2" xfId="0" applyNumberFormat="1" applyBorder="1"/>
  </cellXfs>
  <cellStyles count="1">
    <cellStyle name="Normal" xfId="0" builtinId="0"/>
  </cellStyles>
  <dxfs count="3">
    <dxf>
      <font>
        <color rgb="FFDC2626"/>
      </font>
      <fill>
        <patternFill patternType="solid">
          <fgColor rgb="FFFEE2E2"/>
        </patternFill>
      </fill>
    </dxf>
    <dxf>
      <font>
        <color rgb="FFD97706"/>
      </font>
      <fill>
        <patternFill patternType="solid">
          <fgColor rgb="FFFEF3C7"/>
        </patternFill>
      </fill>
    </dxf>
    <dxf>
      <font>
        <color rgb="FF047857"/>
      </font>
      <fill>
        <patternFill patternType="solid">
          <fgColor rgb="FFD1FAE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workbookViewId="0" showGridLines="0"/>
  </sheetViews>
  <sheetFormatPr defaultRowHeight="15" outlineLevelRow="0" outlineLevelCol="0" x14ac:dyDescent="55"/>
  <cols>
    <col min="1" max="1" width="25" customWidth="1"/>
    <col min="2" max="2" width="22" customWidth="1"/>
    <col min="3" max="8" width="14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1"/>
      <c r="B2" s="1"/>
      <c r="C2" s="1"/>
      <c r="D2" s="1"/>
      <c r="E2" s="1"/>
      <c r="F2" s="1"/>
      <c r="G2" s="1"/>
      <c r="H2" s="1"/>
    </row>
    <row r="3" spans="1:8" x14ac:dyDescent="0.25"/>
    <row r="4" spans="1:8" x14ac:dyDescent="0.25">
      <c r="A4" t="s">
        <v>1</v>
      </c>
      <c r="B4" s="2" t="s">
        <v>2</v>
      </c>
    </row>
    <row r="5" spans="1:8" x14ac:dyDescent="0.25">
      <c r="A5" t="s">
        <v>3</v>
      </c>
      <c r="B5" s="3">
        <v>46203</v>
      </c>
    </row>
    <row r="6" spans="1:8" x14ac:dyDescent="0.25">
      <c r="A6" t="s">
        <v>4</v>
      </c>
      <c r="B6" s="2" t="s">
        <v>5</v>
      </c>
    </row>
    <row r="7" spans="1:8" x14ac:dyDescent="0.25">
      <c r="A7" t="s">
        <v>6</v>
      </c>
      <c r="B7" s="3">
        <v>46213</v>
      </c>
    </row>
    <row r="8" spans="1:8" x14ac:dyDescent="0.25">
      <c r="A8" t="s">
        <v>7</v>
      </c>
      <c r="B8" s="2" t="s">
        <v>8</v>
      </c>
    </row>
    <row r="9" spans="1:8" x14ac:dyDescent="0.25">
      <c r="A9" t="s">
        <v>9</v>
      </c>
      <c r="B9" s="2" t="s">
        <v>10</v>
      </c>
    </row>
    <row r="10" spans="1:8" x14ac:dyDescent="0.25">
      <c r="A10" t="s">
        <v>11</v>
      </c>
      <c r="B10" s="4">
        <v>5000</v>
      </c>
    </row>
    <row r="11" spans="1:8" x14ac:dyDescent="0.25">
      <c r="A11" t="s">
        <v>12</v>
      </c>
      <c r="B11" s="5">
        <v>0.1</v>
      </c>
    </row>
    <row r="12" spans="1:8" x14ac:dyDescent="0.25"/>
    <row r="13" spans="1:8" x14ac:dyDescent="0.25"/>
    <row r="14" spans="1:8" x14ac:dyDescent="0.25">
      <c r="A14" s="6" t="s">
        <v>13</v>
      </c>
      <c r="B14" s="6"/>
      <c r="C14" s="6"/>
      <c r="D14" s="6"/>
      <c r="E14" s="6"/>
      <c r="F14" s="6"/>
      <c r="G14" s="6"/>
      <c r="H14" s="6"/>
    </row>
    <row r="15" ht="28" customHeight="1" spans="1:8" x14ac:dyDescent="0.25">
      <c r="A15" s="7" t="s">
        <v>14</v>
      </c>
      <c r="B15" s="7"/>
      <c r="C15" s="7"/>
      <c r="D15" s="7"/>
      <c r="E15" s="7"/>
      <c r="F15" s="7"/>
      <c r="G15" s="7"/>
      <c r="H15" s="7"/>
    </row>
    <row r="16" ht="28" customHeight="1" spans="1:8" x14ac:dyDescent="0.25">
      <c r="A16" s="7" t="s">
        <v>15</v>
      </c>
      <c r="B16" s="7"/>
      <c r="C16" s="7"/>
      <c r="D16" s="7"/>
      <c r="E16" s="7"/>
      <c r="F16" s="7"/>
      <c r="G16" s="7"/>
      <c r="H16" s="7"/>
    </row>
    <row r="17" ht="28" customHeight="1" spans="1:8" x14ac:dyDescent="0.25">
      <c r="A17" s="7" t="s">
        <v>16</v>
      </c>
      <c r="B17" s="7"/>
      <c r="C17" s="7"/>
      <c r="D17" s="7"/>
      <c r="E17" s="7"/>
      <c r="F17" s="7"/>
      <c r="G17" s="7"/>
      <c r="H17" s="7"/>
    </row>
    <row r="18" ht="28" customHeight="1" spans="1:8" x14ac:dyDescent="0.25">
      <c r="A18" s="7" t="s">
        <v>17</v>
      </c>
      <c r="B18" s="7"/>
      <c r="C18" s="7"/>
      <c r="D18" s="7"/>
      <c r="E18" s="7"/>
      <c r="F18" s="7"/>
      <c r="G18" s="7"/>
      <c r="H18" s="7"/>
    </row>
    <row r="19" spans="1:8" x14ac:dyDescent="0.25"/>
    <row r="20" spans="1:8" x14ac:dyDescent="0.25"/>
    <row r="21" spans="1:8" x14ac:dyDescent="0.25"/>
    <row r="22" spans="1:8" s="8" customFormat="1" x14ac:dyDescent="0.25">
      <c r="A22" s="8" t="s">
        <v>18</v>
      </c>
      <c r="B22" s="8" t="s">
        <v>19</v>
      </c>
      <c r="C22" s="8"/>
      <c r="D22" s="8"/>
      <c r="E22" s="8"/>
      <c r="F22" s="8"/>
      <c r="G22" s="8"/>
      <c r="H22" s="8"/>
    </row>
    <row r="23" spans="1:8" x14ac:dyDescent="0.25">
      <c r="A23" t="s">
        <v>20</v>
      </c>
      <c r="B23" t="s">
        <v>21</v>
      </c>
    </row>
    <row r="24" spans="1:8" x14ac:dyDescent="0.25">
      <c r="A24" t="s">
        <v>22</v>
      </c>
      <c r="B24" t="s">
        <v>23</v>
      </c>
    </row>
    <row r="25" spans="1:8" x14ac:dyDescent="0.25">
      <c r="A25" t="s">
        <v>24</v>
      </c>
      <c r="B25" t="s">
        <v>25</v>
      </c>
    </row>
  </sheetData>
  <mergeCells count="6">
    <mergeCell ref="A1:H2"/>
    <mergeCell ref="A14:H14"/>
    <mergeCell ref="A15:H15"/>
    <mergeCell ref="A16:H16"/>
    <mergeCell ref="A17:H17"/>
    <mergeCell ref="A18:H18"/>
  </mergeCells>
  <dataValidations count="1">
    <dataValidation type="list" sqref="B8">
      <formula1>"Paste Import,Manual Input"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05"/>
  <sheetViews>
    <sheetView workbookViewId="0" showGridLines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16" customWidth="1"/>
    <col min="3" max="3" width="27" customWidth="1"/>
    <col min="4" max="4" width="22" customWidth="1"/>
    <col min="5" max="7" width="17" style="9" customWidth="1"/>
    <col min="8" max="8" width="23" customWidth="1"/>
  </cols>
  <sheetData>
    <row r="1" ht="28" customHeight="1" spans="1:8" x14ac:dyDescent="0.25">
      <c r="A1" s="10" t="s">
        <v>26</v>
      </c>
      <c r="B1" s="10"/>
      <c r="C1" s="10"/>
      <c r="D1" s="10"/>
      <c r="E1" s="10"/>
      <c r="F1" s="10"/>
      <c r="G1" s="10"/>
      <c r="H1" s="10"/>
    </row>
    <row r="2" spans="1:8" x14ac:dyDescent="0.25">
      <c r="A2" s="10"/>
      <c r="B2" s="10"/>
      <c r="C2" s="10"/>
      <c r="D2" s="10"/>
      <c r="E2" s="10"/>
      <c r="F2" s="10"/>
      <c r="G2" s="10"/>
      <c r="H2" s="10"/>
    </row>
    <row r="3" spans="1:8" x14ac:dyDescent="0.25">
      <c r="E3" s="9"/>
      <c r="F3" s="9"/>
      <c r="G3" s="9"/>
    </row>
    <row r="4" spans="1:8" x14ac:dyDescent="0.25">
      <c r="A4" s="11" t="s">
        <v>27</v>
      </c>
      <c r="B4" s="11"/>
      <c r="C4" s="11"/>
      <c r="D4" s="11"/>
      <c r="E4" s="11"/>
      <c r="F4" s="11"/>
      <c r="G4" s="11"/>
      <c r="H4" s="11"/>
    </row>
    <row r="5" ht="34" customHeight="1" spans="1:8" x14ac:dyDescent="0.25">
      <c r="A5" s="12" t="s">
        <v>28</v>
      </c>
      <c r="B5" s="12" t="s">
        <v>29</v>
      </c>
      <c r="C5" s="12" t="s">
        <v>30</v>
      </c>
      <c r="D5" s="12" t="s">
        <v>31</v>
      </c>
      <c r="E5" s="13" t="s">
        <v>32</v>
      </c>
      <c r="F5" s="13" t="s">
        <v>33</v>
      </c>
      <c r="G5" s="13" t="s">
        <v>34</v>
      </c>
      <c r="H5" s="12" t="s">
        <v>35</v>
      </c>
    </row>
    <row r="6" spans="1:8" x14ac:dyDescent="0.25">
      <c r="A6" t="s">
        <v>36</v>
      </c>
      <c r="B6" t="s">
        <v>37</v>
      </c>
      <c r="C6" t="s">
        <v>38</v>
      </c>
      <c r="D6" t="s">
        <v>39</v>
      </c>
      <c r="E6" s="9">
        <v>245000</v>
      </c>
      <c r="F6" s="9">
        <v>210000</v>
      </c>
      <c r="G6" s="9">
        <v>230000</v>
      </c>
      <c r="H6" t="s">
        <v>40</v>
      </c>
    </row>
    <row r="7" spans="1:8" x14ac:dyDescent="0.25">
      <c r="A7" t="s">
        <v>36</v>
      </c>
      <c r="B7" t="s">
        <v>41</v>
      </c>
      <c r="C7" t="s">
        <v>42</v>
      </c>
      <c r="D7" t="s">
        <v>39</v>
      </c>
      <c r="E7" s="9">
        <v>58000</v>
      </c>
      <c r="F7" s="9">
        <v>0</v>
      </c>
      <c r="G7" s="9">
        <v>45000</v>
      </c>
      <c r="H7" t="s">
        <v>40</v>
      </c>
    </row>
    <row r="8" spans="1:8" x14ac:dyDescent="0.25">
      <c r="A8" t="s">
        <v>36</v>
      </c>
      <c r="B8" t="s">
        <v>43</v>
      </c>
      <c r="C8" t="s">
        <v>44</v>
      </c>
      <c r="D8" t="s">
        <v>45</v>
      </c>
      <c r="E8" s="9">
        <v>91000</v>
      </c>
      <c r="F8" s="9">
        <v>78000</v>
      </c>
      <c r="G8" s="9">
        <v>85000</v>
      </c>
      <c r="H8" t="s">
        <v>45</v>
      </c>
    </row>
    <row r="9" spans="1:8" x14ac:dyDescent="0.25">
      <c r="A9" t="s">
        <v>36</v>
      </c>
      <c r="B9" t="s">
        <v>46</v>
      </c>
      <c r="C9" t="s">
        <v>47</v>
      </c>
      <c r="D9" t="s">
        <v>48</v>
      </c>
      <c r="E9" s="9">
        <v>73000</v>
      </c>
      <c r="F9" s="9">
        <v>68000</v>
      </c>
      <c r="G9" s="9">
        <v>70000</v>
      </c>
      <c r="H9" t="s">
        <v>49</v>
      </c>
    </row>
    <row r="10" spans="1:8" x14ac:dyDescent="0.25">
      <c r="A10" t="s">
        <v>36</v>
      </c>
      <c r="B10" t="s">
        <v>50</v>
      </c>
      <c r="C10" t="s">
        <v>51</v>
      </c>
      <c r="D10" t="s">
        <v>48</v>
      </c>
      <c r="E10" s="9">
        <v>31000</v>
      </c>
      <c r="F10" s="9">
        <v>19000</v>
      </c>
      <c r="G10" s="9">
        <v>20000</v>
      </c>
      <c r="H10" t="s">
        <v>49</v>
      </c>
    </row>
    <row r="11" spans="1:8" x14ac:dyDescent="0.25">
      <c r="A11" t="s">
        <v>36</v>
      </c>
      <c r="B11" t="s">
        <v>52</v>
      </c>
      <c r="C11" t="s">
        <v>53</v>
      </c>
      <c r="D11" t="s">
        <v>48</v>
      </c>
      <c r="E11" s="9">
        <v>18000</v>
      </c>
      <c r="F11" s="9">
        <v>18000</v>
      </c>
      <c r="G11" s="9">
        <v>18000</v>
      </c>
      <c r="H11" t="s">
        <v>49</v>
      </c>
    </row>
    <row r="12" spans="1:8" x14ac:dyDescent="0.25">
      <c r="A12" t="s">
        <v>54</v>
      </c>
      <c r="B12" t="s">
        <v>55</v>
      </c>
      <c r="C12" t="s">
        <v>56</v>
      </c>
      <c r="D12" t="s">
        <v>57</v>
      </c>
      <c r="E12" s="9">
        <v>122000</v>
      </c>
      <c r="F12" s="9">
        <v>96000</v>
      </c>
      <c r="G12" s="9">
        <v>110000</v>
      </c>
      <c r="H12" t="s">
        <v>58</v>
      </c>
    </row>
    <row r="13" spans="1:8" x14ac:dyDescent="0.25">
      <c r="A13" t="s">
        <v>54</v>
      </c>
      <c r="B13" t="s">
        <v>59</v>
      </c>
      <c r="C13" t="s">
        <v>60</v>
      </c>
      <c r="D13" t="s">
        <v>60</v>
      </c>
      <c r="E13" s="9">
        <v>87000</v>
      </c>
      <c r="F13" s="9">
        <v>72000</v>
      </c>
      <c r="G13" s="9">
        <v>76000</v>
      </c>
      <c r="H13" t="s">
        <v>60</v>
      </c>
    </row>
    <row r="14" spans="1:8" x14ac:dyDescent="0.25">
      <c r="A14" t="s">
        <v>54</v>
      </c>
      <c r="B14" t="s">
        <v>61</v>
      </c>
      <c r="C14" t="s">
        <v>62</v>
      </c>
      <c r="D14" t="s">
        <v>63</v>
      </c>
      <c r="E14" s="9">
        <v>14000</v>
      </c>
      <c r="F14" s="9">
        <v>12000</v>
      </c>
      <c r="G14" s="9">
        <v>13000</v>
      </c>
      <c r="H14" t="s">
        <v>64</v>
      </c>
    </row>
    <row r="15" spans="1:8" x14ac:dyDescent="0.25">
      <c r="A15" t="s">
        <v>54</v>
      </c>
      <c r="B15" t="s">
        <v>65</v>
      </c>
      <c r="C15" t="s">
        <v>66</v>
      </c>
      <c r="D15" t="s">
        <v>66</v>
      </c>
      <c r="E15" s="9">
        <v>62000</v>
      </c>
      <c r="F15" s="9">
        <v>51000</v>
      </c>
      <c r="G15" s="9">
        <v>55000</v>
      </c>
      <c r="H15" t="s">
        <v>66</v>
      </c>
    </row>
    <row r="16" spans="1:8" x14ac:dyDescent="0.25">
      <c r="A16" t="s">
        <v>54</v>
      </c>
      <c r="B16" t="s">
        <v>67</v>
      </c>
      <c r="C16" t="s">
        <v>68</v>
      </c>
      <c r="D16" t="s">
        <v>69</v>
      </c>
      <c r="E16" s="9">
        <v>28000</v>
      </c>
      <c r="F16" s="9">
        <v>24000</v>
      </c>
      <c r="G16" s="9">
        <v>26000</v>
      </c>
      <c r="H16" t="s">
        <v>70</v>
      </c>
    </row>
    <row r="17" spans="1:8" x14ac:dyDescent="0.25">
      <c r="A17" t="s">
        <v>54</v>
      </c>
      <c r="B17" t="s">
        <v>71</v>
      </c>
      <c r="C17" t="s">
        <v>72</v>
      </c>
      <c r="D17" t="s">
        <v>69</v>
      </c>
      <c r="E17" s="9">
        <v>9000</v>
      </c>
      <c r="F17" s="9">
        <v>8000</v>
      </c>
      <c r="G17" s="9">
        <v>8500</v>
      </c>
      <c r="H17" t="s">
        <v>70</v>
      </c>
    </row>
    <row r="18" spans="1:8" x14ac:dyDescent="0.25">
      <c r="E18" s="9"/>
      <c r="F18" s="9"/>
      <c r="G18" s="9"/>
    </row>
    <row r="19" spans="1:8" x14ac:dyDescent="0.25">
      <c r="E19" s="9"/>
      <c r="F19" s="9"/>
      <c r="G19" s="9"/>
    </row>
    <row r="20" spans="1:8" x14ac:dyDescent="0.25">
      <c r="E20" s="9"/>
      <c r="F20" s="9"/>
      <c r="G20" s="9"/>
    </row>
    <row r="21" spans="1:8" x14ac:dyDescent="0.25">
      <c r="E21" s="9"/>
      <c r="F21" s="9"/>
      <c r="G21" s="9"/>
    </row>
    <row r="22" spans="1:8" x14ac:dyDescent="0.25">
      <c r="E22" s="9"/>
      <c r="F22" s="9"/>
      <c r="G22" s="9"/>
    </row>
    <row r="23" spans="1:8" x14ac:dyDescent="0.25">
      <c r="E23" s="9"/>
      <c r="F23" s="9"/>
      <c r="G23" s="9"/>
    </row>
    <row r="24" spans="1:8" x14ac:dyDescent="0.25">
      <c r="E24" s="9"/>
      <c r="F24" s="9"/>
      <c r="G24" s="9"/>
    </row>
    <row r="25" spans="1:8" x14ac:dyDescent="0.25">
      <c r="E25" s="9"/>
      <c r="F25" s="9"/>
      <c r="G25" s="9"/>
    </row>
    <row r="26" spans="1:8" x14ac:dyDescent="0.25">
      <c r="E26" s="9"/>
      <c r="F26" s="9"/>
      <c r="G26" s="9"/>
    </row>
    <row r="27" spans="1:8" x14ac:dyDescent="0.25">
      <c r="E27" s="9"/>
      <c r="F27" s="9"/>
      <c r="G27" s="9"/>
    </row>
    <row r="28" spans="1:8" x14ac:dyDescent="0.25">
      <c r="E28" s="9"/>
      <c r="F28" s="9"/>
      <c r="G28" s="9"/>
    </row>
    <row r="29" spans="1:8" x14ac:dyDescent="0.25">
      <c r="E29" s="9"/>
      <c r="F29" s="9"/>
      <c r="G29" s="9"/>
    </row>
    <row r="30" spans="1:8" x14ac:dyDescent="0.25">
      <c r="E30" s="9"/>
      <c r="F30" s="9"/>
      <c r="G30" s="9"/>
    </row>
    <row r="31" spans="1:8" x14ac:dyDescent="0.25">
      <c r="E31" s="9"/>
      <c r="F31" s="9"/>
      <c r="G31" s="9"/>
    </row>
    <row r="32" spans="1:8" x14ac:dyDescent="0.25">
      <c r="E32" s="9"/>
      <c r="F32" s="9"/>
      <c r="G32" s="9"/>
    </row>
    <row r="33" spans="1:8" x14ac:dyDescent="0.25">
      <c r="E33" s="9"/>
      <c r="F33" s="9"/>
      <c r="G33" s="9"/>
    </row>
    <row r="34" spans="1:8" x14ac:dyDescent="0.25">
      <c r="E34" s="9"/>
      <c r="F34" s="9"/>
      <c r="G34" s="9"/>
    </row>
    <row r="35" spans="1:8" x14ac:dyDescent="0.25">
      <c r="E35" s="9"/>
      <c r="F35" s="9"/>
      <c r="G35" s="9"/>
    </row>
    <row r="36" spans="1:8" x14ac:dyDescent="0.25">
      <c r="E36" s="9"/>
      <c r="F36" s="9"/>
      <c r="G36" s="9"/>
    </row>
    <row r="37" spans="1:8" x14ac:dyDescent="0.25">
      <c r="E37" s="9"/>
      <c r="F37" s="9"/>
      <c r="G37" s="9"/>
    </row>
    <row r="38" spans="1:8" x14ac:dyDescent="0.25">
      <c r="E38" s="9"/>
      <c r="F38" s="9"/>
      <c r="G38" s="9"/>
    </row>
    <row r="39" spans="1:8" x14ac:dyDescent="0.25">
      <c r="E39" s="9"/>
      <c r="F39" s="9"/>
      <c r="G39" s="9"/>
    </row>
    <row r="40" spans="1:8" x14ac:dyDescent="0.25">
      <c r="E40" s="9"/>
      <c r="F40" s="9"/>
      <c r="G40" s="9"/>
    </row>
    <row r="41" spans="1:8" x14ac:dyDescent="0.25">
      <c r="E41" s="9"/>
      <c r="F41" s="9"/>
      <c r="G41" s="9"/>
    </row>
    <row r="42" spans="1:8" x14ac:dyDescent="0.25">
      <c r="E42" s="9"/>
      <c r="F42" s="9"/>
      <c r="G42" s="9"/>
    </row>
    <row r="43" spans="1:8" x14ac:dyDescent="0.25">
      <c r="E43" s="9"/>
      <c r="F43" s="9"/>
      <c r="G43" s="9"/>
    </row>
    <row r="44" spans="1:8" x14ac:dyDescent="0.25">
      <c r="E44" s="9"/>
      <c r="F44" s="9"/>
      <c r="G44" s="9"/>
    </row>
    <row r="45" spans="1:8" x14ac:dyDescent="0.25">
      <c r="E45" s="9"/>
      <c r="F45" s="9"/>
      <c r="G45" s="9"/>
    </row>
    <row r="46" spans="1:8" x14ac:dyDescent="0.25">
      <c r="E46" s="9"/>
      <c r="F46" s="9"/>
      <c r="G46" s="9"/>
    </row>
    <row r="47" spans="1:8" x14ac:dyDescent="0.25">
      <c r="E47" s="9"/>
      <c r="F47" s="9"/>
      <c r="G47" s="9"/>
    </row>
    <row r="48" spans="1:8" x14ac:dyDescent="0.25">
      <c r="E48" s="9"/>
      <c r="F48" s="9"/>
      <c r="G48" s="9"/>
    </row>
    <row r="49" spans="1:8" x14ac:dyDescent="0.25">
      <c r="E49" s="9"/>
      <c r="F49" s="9"/>
      <c r="G49" s="9"/>
    </row>
    <row r="50" spans="1:8" x14ac:dyDescent="0.25">
      <c r="E50" s="9"/>
      <c r="F50" s="9"/>
      <c r="G50" s="9"/>
    </row>
    <row r="51" spans="1:8" x14ac:dyDescent="0.25">
      <c r="E51" s="9"/>
      <c r="F51" s="9"/>
      <c r="G51" s="9"/>
    </row>
    <row r="52" spans="1:8" x14ac:dyDescent="0.25">
      <c r="E52" s="9"/>
      <c r="F52" s="9"/>
      <c r="G52" s="9"/>
    </row>
    <row r="53" spans="1:8" x14ac:dyDescent="0.25">
      <c r="E53" s="9"/>
      <c r="F53" s="9"/>
      <c r="G53" s="9"/>
    </row>
    <row r="54" spans="1:8" x14ac:dyDescent="0.25">
      <c r="E54" s="9"/>
      <c r="F54" s="9"/>
      <c r="G54" s="9"/>
    </row>
    <row r="55" spans="1:8" x14ac:dyDescent="0.25">
      <c r="E55" s="9"/>
      <c r="F55" s="9"/>
      <c r="G55" s="9"/>
    </row>
    <row r="56" spans="1:8" x14ac:dyDescent="0.25">
      <c r="E56" s="9"/>
      <c r="F56" s="9"/>
      <c r="G56" s="9"/>
    </row>
    <row r="57" spans="1:8" x14ac:dyDescent="0.25">
      <c r="E57" s="9"/>
      <c r="F57" s="9"/>
      <c r="G57" s="9"/>
    </row>
    <row r="58" spans="1:8" x14ac:dyDescent="0.25">
      <c r="E58" s="9"/>
      <c r="F58" s="9"/>
      <c r="G58" s="9"/>
    </row>
    <row r="59" spans="1:8" x14ac:dyDescent="0.25">
      <c r="E59" s="9"/>
      <c r="F59" s="9"/>
      <c r="G59" s="9"/>
    </row>
    <row r="60" spans="1:8" x14ac:dyDescent="0.25">
      <c r="E60" s="9"/>
      <c r="F60" s="9"/>
      <c r="G60" s="9"/>
    </row>
    <row r="61" spans="1:8" x14ac:dyDescent="0.25">
      <c r="E61" s="9"/>
      <c r="F61" s="9"/>
      <c r="G61" s="9"/>
    </row>
    <row r="62" spans="1:8" x14ac:dyDescent="0.25">
      <c r="E62" s="9"/>
      <c r="F62" s="9"/>
      <c r="G62" s="9"/>
    </row>
    <row r="63" spans="1:8" x14ac:dyDescent="0.25">
      <c r="E63" s="9"/>
      <c r="F63" s="9"/>
      <c r="G63" s="9"/>
    </row>
    <row r="64" spans="1:8" x14ac:dyDescent="0.25">
      <c r="E64" s="9"/>
      <c r="F64" s="9"/>
      <c r="G64" s="9"/>
    </row>
    <row r="65" spans="1:8" x14ac:dyDescent="0.25">
      <c r="E65" s="9"/>
      <c r="F65" s="9"/>
      <c r="G65" s="9"/>
    </row>
    <row r="66" spans="1:8" x14ac:dyDescent="0.25">
      <c r="E66" s="9"/>
      <c r="F66" s="9"/>
      <c r="G66" s="9"/>
    </row>
    <row r="67" spans="1:8" x14ac:dyDescent="0.25">
      <c r="E67" s="9"/>
      <c r="F67" s="9"/>
      <c r="G67" s="9"/>
    </row>
    <row r="68" spans="1:8" x14ac:dyDescent="0.25">
      <c r="E68" s="9"/>
      <c r="F68" s="9"/>
      <c r="G68" s="9"/>
    </row>
    <row r="69" spans="1:8" x14ac:dyDescent="0.25">
      <c r="E69" s="9"/>
      <c r="F69" s="9"/>
      <c r="G69" s="9"/>
    </row>
    <row r="70" spans="1:8" x14ac:dyDescent="0.25">
      <c r="E70" s="9"/>
      <c r="F70" s="9"/>
      <c r="G70" s="9"/>
    </row>
    <row r="71" spans="1:8" x14ac:dyDescent="0.25">
      <c r="E71" s="9"/>
      <c r="F71" s="9"/>
      <c r="G71" s="9"/>
    </row>
    <row r="72" spans="1:8" x14ac:dyDescent="0.25">
      <c r="E72" s="9"/>
      <c r="F72" s="9"/>
      <c r="G72" s="9"/>
    </row>
    <row r="73" spans="1:8" x14ac:dyDescent="0.25">
      <c r="E73" s="9"/>
      <c r="F73" s="9"/>
      <c r="G73" s="9"/>
    </row>
    <row r="74" spans="1:8" x14ac:dyDescent="0.25">
      <c r="E74" s="9"/>
      <c r="F74" s="9"/>
      <c r="G74" s="9"/>
    </row>
    <row r="75" spans="1:8" x14ac:dyDescent="0.25">
      <c r="E75" s="9"/>
      <c r="F75" s="9"/>
      <c r="G75" s="9"/>
    </row>
    <row r="76" spans="1:8" x14ac:dyDescent="0.25">
      <c r="E76" s="9"/>
      <c r="F76" s="9"/>
      <c r="G76" s="9"/>
    </row>
    <row r="77" spans="1:8" x14ac:dyDescent="0.25">
      <c r="E77" s="9"/>
      <c r="F77" s="9"/>
      <c r="G77" s="9"/>
    </row>
    <row r="78" spans="1:8" x14ac:dyDescent="0.25">
      <c r="E78" s="9"/>
      <c r="F78" s="9"/>
      <c r="G78" s="9"/>
    </row>
    <row r="79" spans="1:8" x14ac:dyDescent="0.25">
      <c r="E79" s="9"/>
      <c r="F79" s="9"/>
      <c r="G79" s="9"/>
    </row>
    <row r="80" spans="1:8" x14ac:dyDescent="0.25">
      <c r="E80" s="9"/>
      <c r="F80" s="9"/>
      <c r="G80" s="9"/>
    </row>
    <row r="81" spans="1:8" x14ac:dyDescent="0.25">
      <c r="E81" s="9"/>
      <c r="F81" s="9"/>
      <c r="G81" s="9"/>
    </row>
    <row r="82" spans="1:8" x14ac:dyDescent="0.25">
      <c r="E82" s="9"/>
      <c r="F82" s="9"/>
      <c r="G82" s="9"/>
    </row>
    <row r="83" spans="1:8" x14ac:dyDescent="0.25">
      <c r="E83" s="9"/>
      <c r="F83" s="9"/>
      <c r="G83" s="9"/>
    </row>
    <row r="84" spans="1:8" x14ac:dyDescent="0.25">
      <c r="E84" s="9"/>
      <c r="F84" s="9"/>
      <c r="G84" s="9"/>
    </row>
    <row r="85" spans="1:8" x14ac:dyDescent="0.25">
      <c r="E85" s="9"/>
      <c r="F85" s="9"/>
      <c r="G85" s="9"/>
    </row>
    <row r="86" spans="1:8" x14ac:dyDescent="0.25">
      <c r="E86" s="9"/>
      <c r="F86" s="9"/>
      <c r="G86" s="9"/>
    </row>
    <row r="87" spans="1:8" x14ac:dyDescent="0.25">
      <c r="E87" s="9"/>
      <c r="F87" s="9"/>
      <c r="G87" s="9"/>
    </row>
    <row r="88" spans="1:8" x14ac:dyDescent="0.25">
      <c r="E88" s="9"/>
      <c r="F88" s="9"/>
      <c r="G88" s="9"/>
    </row>
    <row r="89" spans="1:8" x14ac:dyDescent="0.25">
      <c r="E89" s="9"/>
      <c r="F89" s="9"/>
      <c r="G89" s="9"/>
    </row>
    <row r="90" spans="1:8" x14ac:dyDescent="0.25">
      <c r="E90" s="9"/>
      <c r="F90" s="9"/>
      <c r="G90" s="9"/>
    </row>
    <row r="91" spans="1:8" x14ac:dyDescent="0.25">
      <c r="E91" s="9"/>
      <c r="F91" s="9"/>
      <c r="G91" s="9"/>
    </row>
    <row r="92" spans="1:8" x14ac:dyDescent="0.25">
      <c r="E92" s="9"/>
      <c r="F92" s="9"/>
      <c r="G92" s="9"/>
    </row>
    <row r="93" spans="1:8" x14ac:dyDescent="0.25">
      <c r="E93" s="9"/>
      <c r="F93" s="9"/>
      <c r="G93" s="9"/>
    </row>
    <row r="94" spans="1:8" x14ac:dyDescent="0.25">
      <c r="E94" s="9"/>
      <c r="F94" s="9"/>
      <c r="G94" s="9"/>
    </row>
    <row r="95" spans="1:8" x14ac:dyDescent="0.25">
      <c r="E95" s="9"/>
      <c r="F95" s="9"/>
      <c r="G95" s="9"/>
    </row>
    <row r="96" spans="1:8" x14ac:dyDescent="0.25">
      <c r="E96" s="9"/>
      <c r="F96" s="9"/>
      <c r="G96" s="9"/>
    </row>
    <row r="97" spans="1:8" x14ac:dyDescent="0.25">
      <c r="E97" s="9"/>
      <c r="F97" s="9"/>
      <c r="G97" s="9"/>
    </row>
    <row r="98" spans="1:8" x14ac:dyDescent="0.25">
      <c r="E98" s="9"/>
      <c r="F98" s="9"/>
      <c r="G98" s="9"/>
    </row>
    <row r="99" spans="1:8" x14ac:dyDescent="0.25">
      <c r="E99" s="9"/>
      <c r="F99" s="9"/>
      <c r="G99" s="9"/>
    </row>
    <row r="100" spans="1:8" x14ac:dyDescent="0.25">
      <c r="E100" s="9"/>
      <c r="F100" s="9"/>
      <c r="G100" s="9"/>
    </row>
    <row r="101" spans="1:8" x14ac:dyDescent="0.25">
      <c r="E101" s="9"/>
      <c r="F101" s="9"/>
      <c r="G101" s="9"/>
    </row>
    <row r="102" spans="1:8" x14ac:dyDescent="0.25">
      <c r="E102" s="9"/>
      <c r="F102" s="9"/>
      <c r="G102" s="9"/>
    </row>
    <row r="103" spans="1:8" x14ac:dyDescent="0.25">
      <c r="E103" s="9"/>
      <c r="F103" s="9"/>
      <c r="G103" s="9"/>
    </row>
    <row r="104" spans="1:8" x14ac:dyDescent="0.25">
      <c r="E104" s="9"/>
      <c r="F104" s="9"/>
      <c r="G104" s="9"/>
    </row>
    <row r="105" spans="1:8" x14ac:dyDescent="0.25">
      <c r="E105" s="9"/>
      <c r="F105" s="9"/>
      <c r="G105" s="9"/>
    </row>
  </sheetData>
  <autoFilter ref="A5:H105"/>
  <mergeCells count="2">
    <mergeCell ref="A1:H2"/>
    <mergeCell ref="A4:H4"/>
  </mergeCells>
  <dataValidations count="6">
    <dataValidation type="list" allowBlank="1" sqref="A10:A105">
      <formula1>'Lists'!$A$2:$A$3</formula1>
    </dataValidation>
    <dataValidation type="list" allowBlank="1" sqref="A6:A105">
      <formula1>'Lists'!$A$2:$A$3</formula1>
    </dataValidation>
    <dataValidation type="list" allowBlank="1" sqref="D10:D105">
      <formula1>'Lists'!$B$2:$B$10</formula1>
    </dataValidation>
    <dataValidation type="list" allowBlank="1" sqref="D6:D105">
      <formula1>'Lists'!$B$2:$B$10</formula1>
    </dataValidation>
    <dataValidation type="list" allowBlank="1" sqref="H10:H105">
      <formula1>'Lists'!$C$2:$C$12</formula1>
    </dataValidation>
    <dataValidation type="list" allowBlank="1" sqref="H6:H105">
      <formula1>'Lists'!$C$2:$C$12</formula1>
    </dataValidation>
  </dataValidations>
  <pageSetup orientation="landscape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05"/>
  <sheetViews>
    <sheetView workbookViewId="0" showGridLines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16" customWidth="1"/>
    <col min="3" max="3" width="27" customWidth="1"/>
    <col min="4" max="4" width="22" customWidth="1"/>
    <col min="5" max="7" width="17" style="9" customWidth="1"/>
    <col min="8" max="8" width="23" customWidth="1"/>
  </cols>
  <sheetData>
    <row r="1" ht="28" customHeight="1" spans="1:8" x14ac:dyDescent="0.25">
      <c r="A1" s="10" t="s">
        <v>73</v>
      </c>
      <c r="B1" s="10"/>
      <c r="C1" s="10"/>
      <c r="D1" s="10"/>
      <c r="E1" s="10"/>
      <c r="F1" s="10"/>
      <c r="G1" s="10"/>
      <c r="H1" s="10"/>
    </row>
    <row r="2" spans="1:8" x14ac:dyDescent="0.25">
      <c r="A2" s="10"/>
      <c r="B2" s="10"/>
      <c r="C2" s="10"/>
      <c r="D2" s="10"/>
      <c r="E2" s="10"/>
      <c r="F2" s="10"/>
      <c r="G2" s="10"/>
      <c r="H2" s="10"/>
    </row>
    <row r="3" spans="1:8" x14ac:dyDescent="0.25">
      <c r="E3" s="9"/>
      <c r="F3" s="9"/>
      <c r="G3" s="9"/>
    </row>
    <row r="4" spans="1:8" x14ac:dyDescent="0.25">
      <c r="A4" s="11" t="s">
        <v>27</v>
      </c>
      <c r="B4" s="11"/>
      <c r="C4" s="11"/>
      <c r="D4" s="11"/>
      <c r="E4" s="11"/>
      <c r="F4" s="11"/>
      <c r="G4" s="11"/>
      <c r="H4" s="11"/>
    </row>
    <row r="5" ht="34" customHeight="1" spans="1:8" x14ac:dyDescent="0.25">
      <c r="A5" s="12" t="s">
        <v>28</v>
      </c>
      <c r="B5" s="12" t="s">
        <v>29</v>
      </c>
      <c r="C5" s="12" t="s">
        <v>30</v>
      </c>
      <c r="D5" s="12" t="s">
        <v>31</v>
      </c>
      <c r="E5" s="13" t="s">
        <v>32</v>
      </c>
      <c r="F5" s="13" t="s">
        <v>33</v>
      </c>
      <c r="G5" s="13" t="s">
        <v>34</v>
      </c>
      <c r="H5" s="12" t="s">
        <v>35</v>
      </c>
    </row>
    <row r="6" spans="1:8" x14ac:dyDescent="0.25">
      <c r="A6" t="s">
        <v>36</v>
      </c>
      <c r="B6" t="s">
        <v>37</v>
      </c>
      <c r="C6" t="s">
        <v>38</v>
      </c>
      <c r="D6" t="s">
        <v>39</v>
      </c>
      <c r="E6" s="9">
        <v>245000</v>
      </c>
      <c r="F6" s="9">
        <v>210000</v>
      </c>
      <c r="G6" s="9">
        <v>230000</v>
      </c>
      <c r="H6" t="s">
        <v>40</v>
      </c>
    </row>
    <row r="7" spans="1:8" x14ac:dyDescent="0.25">
      <c r="A7" t="s">
        <v>36</v>
      </c>
      <c r="B7" t="s">
        <v>41</v>
      </c>
      <c r="C7" t="s">
        <v>42</v>
      </c>
      <c r="D7" t="s">
        <v>39</v>
      </c>
      <c r="E7" s="9">
        <v>58000</v>
      </c>
      <c r="F7" s="9">
        <v>0</v>
      </c>
      <c r="G7" s="9">
        <v>45000</v>
      </c>
      <c r="H7" t="s">
        <v>40</v>
      </c>
    </row>
    <row r="8" spans="1:8" x14ac:dyDescent="0.25">
      <c r="A8" t="s">
        <v>36</v>
      </c>
      <c r="B8" t="s">
        <v>43</v>
      </c>
      <c r="C8" t="s">
        <v>44</v>
      </c>
      <c r="D8" t="s">
        <v>45</v>
      </c>
      <c r="E8" s="9">
        <v>91000</v>
      </c>
      <c r="F8" s="9">
        <v>78000</v>
      </c>
      <c r="G8" s="9">
        <v>85000</v>
      </c>
      <c r="H8" t="s">
        <v>45</v>
      </c>
    </row>
    <row r="9" spans="1:8" x14ac:dyDescent="0.25">
      <c r="A9" t="s">
        <v>36</v>
      </c>
      <c r="B9" t="s">
        <v>46</v>
      </c>
      <c r="C9" t="s">
        <v>47</v>
      </c>
      <c r="D9" t="s">
        <v>48</v>
      </c>
      <c r="E9" s="9">
        <v>73000</v>
      </c>
      <c r="F9" s="9">
        <v>68000</v>
      </c>
      <c r="G9" s="9">
        <v>70000</v>
      </c>
      <c r="H9" t="s">
        <v>49</v>
      </c>
    </row>
    <row r="10" spans="1:8" x14ac:dyDescent="0.25">
      <c r="A10" t="s">
        <v>36</v>
      </c>
      <c r="B10" t="s">
        <v>50</v>
      </c>
      <c r="C10" t="s">
        <v>51</v>
      </c>
      <c r="D10" t="s">
        <v>48</v>
      </c>
      <c r="E10" s="9">
        <v>31000</v>
      </c>
      <c r="F10" s="9">
        <v>19000</v>
      </c>
      <c r="G10" s="9">
        <v>20000</v>
      </c>
      <c r="H10" t="s">
        <v>49</v>
      </c>
    </row>
    <row r="11" spans="1:8" x14ac:dyDescent="0.25">
      <c r="A11" t="s">
        <v>36</v>
      </c>
      <c r="B11" t="s">
        <v>52</v>
      </c>
      <c r="C11" t="s">
        <v>53</v>
      </c>
      <c r="D11" t="s">
        <v>48</v>
      </c>
      <c r="E11" s="9">
        <v>18000</v>
      </c>
      <c r="F11" s="9">
        <v>18000</v>
      </c>
      <c r="G11" s="9">
        <v>18000</v>
      </c>
      <c r="H11" t="s">
        <v>49</v>
      </c>
    </row>
    <row r="12" spans="1:8" x14ac:dyDescent="0.25">
      <c r="A12" t="s">
        <v>54</v>
      </c>
      <c r="B12" t="s">
        <v>55</v>
      </c>
      <c r="C12" t="s">
        <v>56</v>
      </c>
      <c r="D12" t="s">
        <v>57</v>
      </c>
      <c r="E12" s="9">
        <v>122000</v>
      </c>
      <c r="F12" s="9">
        <v>96000</v>
      </c>
      <c r="G12" s="9">
        <v>110000</v>
      </c>
      <c r="H12" t="s">
        <v>58</v>
      </c>
    </row>
    <row r="13" spans="1:8" x14ac:dyDescent="0.25">
      <c r="A13" t="s">
        <v>54</v>
      </c>
      <c r="B13" t="s">
        <v>59</v>
      </c>
      <c r="C13" t="s">
        <v>60</v>
      </c>
      <c r="D13" t="s">
        <v>60</v>
      </c>
      <c r="E13" s="9">
        <v>87000</v>
      </c>
      <c r="F13" s="9">
        <v>72000</v>
      </c>
      <c r="G13" s="9">
        <v>76000</v>
      </c>
      <c r="H13" t="s">
        <v>60</v>
      </c>
    </row>
    <row r="14" spans="1:8" x14ac:dyDescent="0.25">
      <c r="A14" t="s">
        <v>54</v>
      </c>
      <c r="B14" t="s">
        <v>61</v>
      </c>
      <c r="C14" t="s">
        <v>62</v>
      </c>
      <c r="D14" t="s">
        <v>63</v>
      </c>
      <c r="E14" s="9">
        <v>14000</v>
      </c>
      <c r="F14" s="9">
        <v>12000</v>
      </c>
      <c r="G14" s="9">
        <v>13000</v>
      </c>
      <c r="H14" t="s">
        <v>64</v>
      </c>
    </row>
    <row r="15" spans="1:8" x14ac:dyDescent="0.25">
      <c r="A15" t="s">
        <v>54</v>
      </c>
      <c r="B15" t="s">
        <v>65</v>
      </c>
      <c r="C15" t="s">
        <v>66</v>
      </c>
      <c r="D15" t="s">
        <v>66</v>
      </c>
      <c r="E15" s="9">
        <v>62000</v>
      </c>
      <c r="F15" s="9">
        <v>51000</v>
      </c>
      <c r="G15" s="9">
        <v>55000</v>
      </c>
      <c r="H15" t="s">
        <v>66</v>
      </c>
    </row>
    <row r="16" spans="1:8" x14ac:dyDescent="0.25">
      <c r="A16" t="s">
        <v>54</v>
      </c>
      <c r="B16" t="s">
        <v>67</v>
      </c>
      <c r="C16" t="s">
        <v>68</v>
      </c>
      <c r="D16" t="s">
        <v>69</v>
      </c>
      <c r="E16" s="9">
        <v>28000</v>
      </c>
      <c r="F16" s="9">
        <v>24000</v>
      </c>
      <c r="G16" s="9">
        <v>26000</v>
      </c>
      <c r="H16" t="s">
        <v>70</v>
      </c>
    </row>
    <row r="17" spans="1:8" x14ac:dyDescent="0.25">
      <c r="A17" t="s">
        <v>54</v>
      </c>
      <c r="B17" t="s">
        <v>71</v>
      </c>
      <c r="C17" t="s">
        <v>72</v>
      </c>
      <c r="D17" t="s">
        <v>69</v>
      </c>
      <c r="E17" s="9">
        <v>9000</v>
      </c>
      <c r="F17" s="9">
        <v>8000</v>
      </c>
      <c r="G17" s="9">
        <v>8500</v>
      </c>
      <c r="H17" t="s">
        <v>70</v>
      </c>
    </row>
    <row r="18" spans="1:8" x14ac:dyDescent="0.25">
      <c r="E18" s="9"/>
      <c r="F18" s="9"/>
      <c r="G18" s="9"/>
    </row>
    <row r="19" spans="1:8" x14ac:dyDescent="0.25">
      <c r="E19" s="9"/>
      <c r="F19" s="9"/>
      <c r="G19" s="9"/>
    </row>
    <row r="20" spans="1:8" x14ac:dyDescent="0.25">
      <c r="E20" s="9"/>
      <c r="F20" s="9"/>
      <c r="G20" s="9"/>
    </row>
    <row r="21" spans="1:8" x14ac:dyDescent="0.25">
      <c r="E21" s="9"/>
      <c r="F21" s="9"/>
      <c r="G21" s="9"/>
    </row>
    <row r="22" spans="1:8" x14ac:dyDescent="0.25">
      <c r="E22" s="9"/>
      <c r="F22" s="9"/>
      <c r="G22" s="9"/>
    </row>
    <row r="23" spans="1:8" x14ac:dyDescent="0.25">
      <c r="E23" s="9"/>
      <c r="F23" s="9"/>
      <c r="G23" s="9"/>
    </row>
    <row r="24" spans="1:8" x14ac:dyDescent="0.25">
      <c r="E24" s="9"/>
      <c r="F24" s="9"/>
      <c r="G24" s="9"/>
    </row>
    <row r="25" spans="1:8" x14ac:dyDescent="0.25">
      <c r="E25" s="9"/>
      <c r="F25" s="9"/>
      <c r="G25" s="9"/>
    </row>
    <row r="26" spans="1:8" x14ac:dyDescent="0.25">
      <c r="E26" s="9"/>
      <c r="F26" s="9"/>
      <c r="G26" s="9"/>
    </row>
    <row r="27" spans="1:8" x14ac:dyDescent="0.25">
      <c r="E27" s="9"/>
      <c r="F27" s="9"/>
      <c r="G27" s="9"/>
    </row>
    <row r="28" spans="1:8" x14ac:dyDescent="0.25">
      <c r="E28" s="9"/>
      <c r="F28" s="9"/>
      <c r="G28" s="9"/>
    </row>
    <row r="29" spans="1:8" x14ac:dyDescent="0.25">
      <c r="E29" s="9"/>
      <c r="F29" s="9"/>
      <c r="G29" s="9"/>
    </row>
    <row r="30" spans="1:8" x14ac:dyDescent="0.25">
      <c r="E30" s="9"/>
      <c r="F30" s="9"/>
      <c r="G30" s="9"/>
    </row>
    <row r="31" spans="1:8" x14ac:dyDescent="0.25">
      <c r="E31" s="9"/>
      <c r="F31" s="9"/>
      <c r="G31" s="9"/>
    </row>
    <row r="32" spans="1:8" x14ac:dyDescent="0.25">
      <c r="E32" s="9"/>
      <c r="F32" s="9"/>
      <c r="G32" s="9"/>
    </row>
    <row r="33" spans="1:8" x14ac:dyDescent="0.25">
      <c r="E33" s="9"/>
      <c r="F33" s="9"/>
      <c r="G33" s="9"/>
    </row>
    <row r="34" spans="1:8" x14ac:dyDescent="0.25">
      <c r="E34" s="9"/>
      <c r="F34" s="9"/>
      <c r="G34" s="9"/>
    </row>
    <row r="35" spans="1:8" x14ac:dyDescent="0.25">
      <c r="E35" s="9"/>
      <c r="F35" s="9"/>
      <c r="G35" s="9"/>
    </row>
    <row r="36" spans="1:8" x14ac:dyDescent="0.25">
      <c r="E36" s="9"/>
      <c r="F36" s="9"/>
      <c r="G36" s="9"/>
    </row>
    <row r="37" spans="1:8" x14ac:dyDescent="0.25">
      <c r="E37" s="9"/>
      <c r="F37" s="9"/>
      <c r="G37" s="9"/>
    </row>
    <row r="38" spans="1:8" x14ac:dyDescent="0.25">
      <c r="E38" s="9"/>
      <c r="F38" s="9"/>
      <c r="G38" s="9"/>
    </row>
    <row r="39" spans="1:8" x14ac:dyDescent="0.25">
      <c r="E39" s="9"/>
      <c r="F39" s="9"/>
      <c r="G39" s="9"/>
    </row>
    <row r="40" spans="1:8" x14ac:dyDescent="0.25">
      <c r="E40" s="9"/>
      <c r="F40" s="9"/>
      <c r="G40" s="9"/>
    </row>
    <row r="41" spans="1:8" x14ac:dyDescent="0.25">
      <c r="E41" s="9"/>
      <c r="F41" s="9"/>
      <c r="G41" s="9"/>
    </row>
    <row r="42" spans="1:8" x14ac:dyDescent="0.25">
      <c r="E42" s="9"/>
      <c r="F42" s="9"/>
      <c r="G42" s="9"/>
    </row>
    <row r="43" spans="1:8" x14ac:dyDescent="0.25">
      <c r="E43" s="9"/>
      <c r="F43" s="9"/>
      <c r="G43" s="9"/>
    </row>
    <row r="44" spans="1:8" x14ac:dyDescent="0.25">
      <c r="E44" s="9"/>
      <c r="F44" s="9"/>
      <c r="G44" s="9"/>
    </row>
    <row r="45" spans="1:8" x14ac:dyDescent="0.25">
      <c r="E45" s="9"/>
      <c r="F45" s="9"/>
      <c r="G45" s="9"/>
    </row>
    <row r="46" spans="1:8" x14ac:dyDescent="0.25">
      <c r="E46" s="9"/>
      <c r="F46" s="9"/>
      <c r="G46" s="9"/>
    </row>
    <row r="47" spans="1:8" x14ac:dyDescent="0.25">
      <c r="E47" s="9"/>
      <c r="F47" s="9"/>
      <c r="G47" s="9"/>
    </row>
    <row r="48" spans="1:8" x14ac:dyDescent="0.25">
      <c r="E48" s="9"/>
      <c r="F48" s="9"/>
      <c r="G48" s="9"/>
    </row>
    <row r="49" spans="1:8" x14ac:dyDescent="0.25">
      <c r="E49" s="9"/>
      <c r="F49" s="9"/>
      <c r="G49" s="9"/>
    </row>
    <row r="50" spans="1:8" x14ac:dyDescent="0.25">
      <c r="E50" s="9"/>
      <c r="F50" s="9"/>
      <c r="G50" s="9"/>
    </row>
    <row r="51" spans="1:8" x14ac:dyDescent="0.25">
      <c r="E51" s="9"/>
      <c r="F51" s="9"/>
      <c r="G51" s="9"/>
    </row>
    <row r="52" spans="1:8" x14ac:dyDescent="0.25">
      <c r="E52" s="9"/>
      <c r="F52" s="9"/>
      <c r="G52" s="9"/>
    </row>
    <row r="53" spans="1:8" x14ac:dyDescent="0.25">
      <c r="E53" s="9"/>
      <c r="F53" s="9"/>
      <c r="G53" s="9"/>
    </row>
    <row r="54" spans="1:8" x14ac:dyDescent="0.25">
      <c r="E54" s="9"/>
      <c r="F54" s="9"/>
      <c r="G54" s="9"/>
    </row>
    <row r="55" spans="1:8" x14ac:dyDescent="0.25">
      <c r="E55" s="9"/>
      <c r="F55" s="9"/>
      <c r="G55" s="9"/>
    </row>
    <row r="56" spans="1:8" x14ac:dyDescent="0.25">
      <c r="E56" s="9"/>
      <c r="F56" s="9"/>
      <c r="G56" s="9"/>
    </row>
    <row r="57" spans="1:8" x14ac:dyDescent="0.25">
      <c r="E57" s="9"/>
      <c r="F57" s="9"/>
      <c r="G57" s="9"/>
    </row>
    <row r="58" spans="1:8" x14ac:dyDescent="0.25">
      <c r="E58" s="9"/>
      <c r="F58" s="9"/>
      <c r="G58" s="9"/>
    </row>
    <row r="59" spans="1:8" x14ac:dyDescent="0.25">
      <c r="E59" s="9"/>
      <c r="F59" s="9"/>
      <c r="G59" s="9"/>
    </row>
    <row r="60" spans="1:8" x14ac:dyDescent="0.25">
      <c r="E60" s="9"/>
      <c r="F60" s="9"/>
      <c r="G60" s="9"/>
    </row>
    <row r="61" spans="1:8" x14ac:dyDescent="0.25">
      <c r="E61" s="9"/>
      <c r="F61" s="9"/>
      <c r="G61" s="9"/>
    </row>
    <row r="62" spans="1:8" x14ac:dyDescent="0.25">
      <c r="E62" s="9"/>
      <c r="F62" s="9"/>
      <c r="G62" s="9"/>
    </row>
    <row r="63" spans="1:8" x14ac:dyDescent="0.25">
      <c r="E63" s="9"/>
      <c r="F63" s="9"/>
      <c r="G63" s="9"/>
    </row>
    <row r="64" spans="1:8" x14ac:dyDescent="0.25">
      <c r="E64" s="9"/>
      <c r="F64" s="9"/>
      <c r="G64" s="9"/>
    </row>
    <row r="65" spans="1:8" x14ac:dyDescent="0.25">
      <c r="E65" s="9"/>
      <c r="F65" s="9"/>
      <c r="G65" s="9"/>
    </row>
    <row r="66" spans="1:8" x14ac:dyDescent="0.25">
      <c r="E66" s="9"/>
      <c r="F66" s="9"/>
      <c r="G66" s="9"/>
    </row>
    <row r="67" spans="1:8" x14ac:dyDescent="0.25">
      <c r="E67" s="9"/>
      <c r="F67" s="9"/>
      <c r="G67" s="9"/>
    </row>
    <row r="68" spans="1:8" x14ac:dyDescent="0.25">
      <c r="E68" s="9"/>
      <c r="F68" s="9"/>
      <c r="G68" s="9"/>
    </row>
    <row r="69" spans="1:8" x14ac:dyDescent="0.25">
      <c r="E69" s="9"/>
      <c r="F69" s="9"/>
      <c r="G69" s="9"/>
    </row>
    <row r="70" spans="1:8" x14ac:dyDescent="0.25">
      <c r="E70" s="9"/>
      <c r="F70" s="9"/>
      <c r="G70" s="9"/>
    </row>
    <row r="71" spans="1:8" x14ac:dyDescent="0.25">
      <c r="E71" s="9"/>
      <c r="F71" s="9"/>
      <c r="G71" s="9"/>
    </row>
    <row r="72" spans="1:8" x14ac:dyDescent="0.25">
      <c r="E72" s="9"/>
      <c r="F72" s="9"/>
      <c r="G72" s="9"/>
    </row>
    <row r="73" spans="1:8" x14ac:dyDescent="0.25">
      <c r="E73" s="9"/>
      <c r="F73" s="9"/>
      <c r="G73" s="9"/>
    </row>
    <row r="74" spans="1:8" x14ac:dyDescent="0.25">
      <c r="E74" s="9"/>
      <c r="F74" s="9"/>
      <c r="G74" s="9"/>
    </row>
    <row r="75" spans="1:8" x14ac:dyDescent="0.25">
      <c r="E75" s="9"/>
      <c r="F75" s="9"/>
      <c r="G75" s="9"/>
    </row>
    <row r="76" spans="1:8" x14ac:dyDescent="0.25">
      <c r="E76" s="9"/>
      <c r="F76" s="9"/>
      <c r="G76" s="9"/>
    </row>
    <row r="77" spans="1:8" x14ac:dyDescent="0.25">
      <c r="E77" s="9"/>
      <c r="F77" s="9"/>
      <c r="G77" s="9"/>
    </row>
    <row r="78" spans="1:8" x14ac:dyDescent="0.25">
      <c r="E78" s="9"/>
      <c r="F78" s="9"/>
      <c r="G78" s="9"/>
    </row>
    <row r="79" spans="1:8" x14ac:dyDescent="0.25">
      <c r="E79" s="9"/>
      <c r="F79" s="9"/>
      <c r="G79" s="9"/>
    </row>
    <row r="80" spans="1:8" x14ac:dyDescent="0.25">
      <c r="E80" s="9"/>
      <c r="F80" s="9"/>
      <c r="G80" s="9"/>
    </row>
    <row r="81" spans="1:8" x14ac:dyDescent="0.25">
      <c r="E81" s="9"/>
      <c r="F81" s="9"/>
      <c r="G81" s="9"/>
    </row>
    <row r="82" spans="1:8" x14ac:dyDescent="0.25">
      <c r="E82" s="9"/>
      <c r="F82" s="9"/>
      <c r="G82" s="9"/>
    </row>
    <row r="83" spans="1:8" x14ac:dyDescent="0.25">
      <c r="E83" s="9"/>
      <c r="F83" s="9"/>
      <c r="G83" s="9"/>
    </row>
    <row r="84" spans="1:8" x14ac:dyDescent="0.25">
      <c r="E84" s="9"/>
      <c r="F84" s="9"/>
      <c r="G84" s="9"/>
    </row>
    <row r="85" spans="1:8" x14ac:dyDescent="0.25">
      <c r="E85" s="9"/>
      <c r="F85" s="9"/>
      <c r="G85" s="9"/>
    </row>
    <row r="86" spans="1:8" x14ac:dyDescent="0.25">
      <c r="E86" s="9"/>
      <c r="F86" s="9"/>
      <c r="G86" s="9"/>
    </row>
    <row r="87" spans="1:8" x14ac:dyDescent="0.25">
      <c r="E87" s="9"/>
      <c r="F87" s="9"/>
      <c r="G87" s="9"/>
    </row>
    <row r="88" spans="1:8" x14ac:dyDescent="0.25">
      <c r="E88" s="9"/>
      <c r="F88" s="9"/>
      <c r="G88" s="9"/>
    </row>
    <row r="89" spans="1:8" x14ac:dyDescent="0.25">
      <c r="E89" s="9"/>
      <c r="F89" s="9"/>
      <c r="G89" s="9"/>
    </row>
    <row r="90" spans="1:8" x14ac:dyDescent="0.25">
      <c r="E90" s="9"/>
      <c r="F90" s="9"/>
      <c r="G90" s="9"/>
    </row>
    <row r="91" spans="1:8" x14ac:dyDescent="0.25">
      <c r="E91" s="9"/>
      <c r="F91" s="9"/>
      <c r="G91" s="9"/>
    </row>
    <row r="92" spans="1:8" x14ac:dyDescent="0.25">
      <c r="E92" s="9"/>
      <c r="F92" s="9"/>
      <c r="G92" s="9"/>
    </row>
    <row r="93" spans="1:8" x14ac:dyDescent="0.25">
      <c r="E93" s="9"/>
      <c r="F93" s="9"/>
      <c r="G93" s="9"/>
    </row>
    <row r="94" spans="1:8" x14ac:dyDescent="0.25">
      <c r="E94" s="9"/>
      <c r="F94" s="9"/>
      <c r="G94" s="9"/>
    </row>
    <row r="95" spans="1:8" x14ac:dyDescent="0.25">
      <c r="E95" s="9"/>
      <c r="F95" s="9"/>
      <c r="G95" s="9"/>
    </row>
    <row r="96" spans="1:8" x14ac:dyDescent="0.25">
      <c r="E96" s="9"/>
      <c r="F96" s="9"/>
      <c r="G96" s="9"/>
    </row>
    <row r="97" spans="1:8" x14ac:dyDescent="0.25">
      <c r="E97" s="9"/>
      <c r="F97" s="9"/>
      <c r="G97" s="9"/>
    </row>
    <row r="98" spans="1:8" x14ac:dyDescent="0.25">
      <c r="E98" s="9"/>
      <c r="F98" s="9"/>
      <c r="G98" s="9"/>
    </row>
    <row r="99" spans="1:8" x14ac:dyDescent="0.25">
      <c r="E99" s="9"/>
      <c r="F99" s="9"/>
      <c r="G99" s="9"/>
    </row>
    <row r="100" spans="1:8" x14ac:dyDescent="0.25">
      <c r="E100" s="9"/>
      <c r="F100" s="9"/>
      <c r="G100" s="9"/>
    </row>
    <row r="101" spans="1:8" x14ac:dyDescent="0.25">
      <c r="E101" s="9"/>
      <c r="F101" s="9"/>
      <c r="G101" s="9"/>
    </row>
    <row r="102" spans="1:8" x14ac:dyDescent="0.25">
      <c r="E102" s="9"/>
      <c r="F102" s="9"/>
      <c r="G102" s="9"/>
    </row>
    <row r="103" spans="1:8" x14ac:dyDescent="0.25">
      <c r="E103" s="9"/>
      <c r="F103" s="9"/>
      <c r="G103" s="9"/>
    </row>
    <row r="104" spans="1:8" x14ac:dyDescent="0.25">
      <c r="E104" s="9"/>
      <c r="F104" s="9"/>
      <c r="G104" s="9"/>
    </row>
    <row r="105" spans="1:8" x14ac:dyDescent="0.25">
      <c r="E105" s="9"/>
      <c r="F105" s="9"/>
      <c r="G105" s="9"/>
    </row>
  </sheetData>
  <autoFilter ref="A5:H105"/>
  <mergeCells count="2">
    <mergeCell ref="A1:H2"/>
    <mergeCell ref="A4:H4"/>
  </mergeCells>
  <dataValidations count="6">
    <dataValidation type="list" allowBlank="1" sqref="A10:A105">
      <formula1>'Lists'!$A$2:$A$3</formula1>
    </dataValidation>
    <dataValidation type="list" allowBlank="1" sqref="A6:A105">
      <formula1>'Lists'!$A$2:$A$3</formula1>
    </dataValidation>
    <dataValidation type="list" allowBlank="1" sqref="D10:D105">
      <formula1>'Lists'!$B$2:$B$10</formula1>
    </dataValidation>
    <dataValidation type="list" allowBlank="1" sqref="D6:D105">
      <formula1>'Lists'!$B$2:$B$10</formula1>
    </dataValidation>
    <dataValidation type="list" allowBlank="1" sqref="H10:H105">
      <formula1>'Lists'!$C$2:$C$12</formula1>
    </dataValidation>
    <dataValidation type="list" allowBlank="1" sqref="H6:H105">
      <formula1>'Lists'!$C$2:$C$12</formula1>
    </dataValidation>
  </dataValidations>
  <pageSetup orientation="landscape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05"/>
  <sheetViews>
    <sheetView workbookViewId="0" showGridLines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4" customWidth="1"/>
    <col min="3" max="3" width="24" customWidth="1"/>
    <col min="4" max="4" width="20" customWidth="1"/>
    <col min="5" max="8" width="14" style="9" customWidth="1"/>
    <col min="9" max="9" width="13" customWidth="1"/>
    <col min="10" max="10" width="14" style="9" customWidth="1"/>
    <col min="11" max="11" width="13" customWidth="1"/>
    <col min="12" max="12" width="22" customWidth="1"/>
    <col min="13" max="13" width="13" customWidth="1"/>
    <col min="14" max="14" width="27" customWidth="1"/>
    <col min="15" max="15" width="17" style="9" customWidth="1"/>
  </cols>
  <sheetData>
    <row r="1" ht="28" customHeight="1" spans="1:15" x14ac:dyDescent="0.25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</row>
    <row r="2" spans="1:15" x14ac:dyDescent="0.25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</row>
    <row r="3" spans="1:15" x14ac:dyDescent="0.25">
      <c r="E3" s="9"/>
      <c r="F3" s="9"/>
      <c r="G3" s="9"/>
      <c r="H3" s="9"/>
      <c r="J3" s="9"/>
      <c r="O3" s="9"/>
    </row>
    <row r="4" spans="1:15" x14ac:dyDescent="0.25">
      <c r="A4" s="11" t="s">
        <v>74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</row>
    <row r="5" ht="42" customHeight="1" spans="1:15" x14ac:dyDescent="0.25">
      <c r="A5" s="12" t="s">
        <v>28</v>
      </c>
      <c r="B5" s="12" t="s">
        <v>29</v>
      </c>
      <c r="C5" s="12" t="s">
        <v>30</v>
      </c>
      <c r="D5" s="12" t="s">
        <v>31</v>
      </c>
      <c r="E5" s="13" t="s">
        <v>75</v>
      </c>
      <c r="F5" s="13" t="s">
        <v>76</v>
      </c>
      <c r="G5" s="13" t="s">
        <v>34</v>
      </c>
      <c r="H5" s="13" t="s">
        <v>77</v>
      </c>
      <c r="I5" s="12" t="s">
        <v>78</v>
      </c>
      <c r="J5" s="13" t="s">
        <v>79</v>
      </c>
      <c r="K5" s="12" t="s">
        <v>80</v>
      </c>
      <c r="L5" s="12" t="s">
        <v>35</v>
      </c>
      <c r="M5" s="12" t="s">
        <v>81</v>
      </c>
      <c r="N5" s="12" t="s">
        <v>82</v>
      </c>
      <c r="O5" s="13" t="s">
        <v>83</v>
      </c>
    </row>
    <row r="6" spans="1:15" x14ac:dyDescent="0.25">
      <c r="A6" t="str">
        <f>IF('Start Here'!$B$8="Paste Import",'Paste Import'!A6,'Manual Input'!A6)</f>
        <v>Income Statement</v>
      </c>
      <c r="B6" t="str">
        <f>IF('Start Here'!$B$8="Paste Import",'Paste Import'!B6,'Manual Input'!B6)</f>
        <v>4000</v>
      </c>
      <c r="C6" t="str">
        <f>IF('Start Here'!$B$8="Paste Import",'Paste Import'!C6,'Manual Input'!C6)</f>
        <v>Product Revenue</v>
      </c>
      <c r="D6" t="str">
        <f>IF('Start Here'!$B$8="Paste Import",'Paste Import'!D6,'Manual Input'!D6)</f>
        <v>Income</v>
      </c>
      <c r="E6" s="9">
        <f>IF('Start Here'!$B$8="Paste Import",'Paste Import'!E6,'Manual Input'!E6)</f>
        <v>245000</v>
      </c>
      <c r="F6" s="9">
        <f>IF('Start Here'!$B$8="Paste Import",'Paste Import'!F6,'Manual Input'!F6)</f>
        <v>210000</v>
      </c>
      <c r="G6" s="9">
        <f>IF('Start Here'!$B$8="Paste Import",'Paste Import'!G6,'Manual Input'!G6)</f>
        <v>230000</v>
      </c>
      <c r="H6" s="9">
        <f>IF(C6="","",E6-F6)</f>
        <v>35000</v>
      </c>
      <c r="I6" s="14">
        <f>IF(C6="","",IF(F6=0,IF(E6=0,"","New"),H6/ABS(F6)))</f>
        <v>0.16666666666666666</v>
      </c>
      <c r="J6" s="9">
        <f>IF(C6="","",E6-G6)</f>
        <v>15000</v>
      </c>
      <c r="K6" s="14">
        <f>IF(C6="","",IF(G6=0,IF(E6=0,"","New"),J6/ABS(G6)))</f>
        <v>0.06521739130434782</v>
      </c>
      <c r="L6" t="str">
        <f>IF('Start Here'!$B$8="Paste Import",'Paste Import'!H6,'Manual Input'!H6)</f>
        <v>Revenue</v>
      </c>
      <c r="M6" t="str">
        <f>IF(C6="","",IF(OR(D6="",L6=""),"Incomplete",IF(OR(AND(ABS(H6)&gt;='Start Here'!$B$10,IFERROR(ABS(I6)&gt;='Start Here'!$B$11,TRUE)),AND(ABS(J6)&gt;='Start Here'!$B$10,IFERROR(ABS(K6)&gt;='Start Here'!$B$11,TRUE))),"Review","OK")))</f>
        <v>Review</v>
      </c>
      <c r="N6" s="15"/>
      <c r="O6" s="9">
        <f>IF(M6="Review",ABS(H6)+ABS(J6)+ROW()/1000000,0)</f>
        <v>50000.000006</v>
      </c>
    </row>
    <row r="7" spans="1:15" x14ac:dyDescent="0.25">
      <c r="A7" t="str">
        <f>IF('Start Here'!$B$8="Paste Import",'Paste Import'!A7,'Manual Input'!A7)</f>
        <v>Income Statement</v>
      </c>
      <c r="B7" t="str">
        <f>IF('Start Here'!$B$8="Paste Import",'Paste Import'!B7,'Manual Input'!B7)</f>
        <v>4010</v>
      </c>
      <c r="C7" t="str">
        <f>IF('Start Here'!$B$8="Paste Import",'Paste Import'!C7,'Manual Input'!C7)</f>
        <v>Service Revenue</v>
      </c>
      <c r="D7" t="str">
        <f>IF('Start Here'!$B$8="Paste Import",'Paste Import'!D7,'Manual Input'!D7)</f>
        <v>Income</v>
      </c>
      <c r="E7" s="9">
        <f>IF('Start Here'!$B$8="Paste Import",'Paste Import'!E7,'Manual Input'!E7)</f>
        <v>58000</v>
      </c>
      <c r="F7" s="9">
        <f>IF('Start Here'!$B$8="Paste Import",'Paste Import'!F7,'Manual Input'!F7)</f>
        <v>0</v>
      </c>
      <c r="G7" s="9">
        <f>IF('Start Here'!$B$8="Paste Import",'Paste Import'!G7,'Manual Input'!G7)</f>
        <v>45000</v>
      </c>
      <c r="H7" s="9">
        <f>IF(C7="","",E7-F7)</f>
        <v>58000</v>
      </c>
      <c r="I7" s="14" t="str">
        <f>IF(C7="","",IF(F7=0,IF(E7=0,"","New"),H7/ABS(F7)))</f>
        <v>New</v>
      </c>
      <c r="J7" s="9">
        <f>IF(C7="","",E7-G7)</f>
        <v>13000</v>
      </c>
      <c r="K7" s="14">
        <f>IF(C7="","",IF(G7=0,IF(E7=0,"","New"),J7/ABS(G7)))</f>
        <v>0.28888888888888886</v>
      </c>
      <c r="L7" t="str">
        <f>IF('Start Here'!$B$8="Paste Import",'Paste Import'!H7,'Manual Input'!H7)</f>
        <v>Revenue</v>
      </c>
      <c r="M7" t="str">
        <f>IF(C7="","",IF(OR(D7="",L7=""),"Incomplete",IF(OR(AND(ABS(H7)&gt;='Start Here'!$B$10,IFERROR(ABS(I7)&gt;='Start Here'!$B$11,TRUE)),AND(ABS(J7)&gt;='Start Here'!$B$10,IFERROR(ABS(K7)&gt;='Start Here'!$B$11,TRUE))),"Review","OK")))</f>
        <v>Review</v>
      </c>
      <c r="N7" s="15"/>
      <c r="O7" s="9">
        <f>IF(M7="Review",ABS(H7)+ABS(J7)+ROW()/1000000,0)</f>
        <v>71000.000007</v>
      </c>
    </row>
    <row r="8" spans="1:15" x14ac:dyDescent="0.25">
      <c r="A8" t="str">
        <f>IF('Start Here'!$B$8="Paste Import",'Paste Import'!A8,'Manual Input'!A8)</f>
        <v>Income Statement</v>
      </c>
      <c r="B8" t="str">
        <f>IF('Start Here'!$B$8="Paste Import",'Paste Import'!B8,'Manual Input'!B8)</f>
        <v>5000</v>
      </c>
      <c r="C8" t="str">
        <f>IF('Start Here'!$B$8="Paste Import",'Paste Import'!C8,'Manual Input'!C8)</f>
        <v>Materials</v>
      </c>
      <c r="D8" t="str">
        <f>IF('Start Here'!$B$8="Paste Import",'Paste Import'!D8,'Manual Input'!D8)</f>
        <v>Cost of Goods Sold</v>
      </c>
      <c r="E8" s="9">
        <f>IF('Start Here'!$B$8="Paste Import",'Paste Import'!E8,'Manual Input'!E8)</f>
        <v>91000</v>
      </c>
      <c r="F8" s="9">
        <f>IF('Start Here'!$B$8="Paste Import",'Paste Import'!F8,'Manual Input'!F8)</f>
        <v>78000</v>
      </c>
      <c r="G8" s="9">
        <f>IF('Start Here'!$B$8="Paste Import",'Paste Import'!G8,'Manual Input'!G8)</f>
        <v>85000</v>
      </c>
      <c r="H8" s="9">
        <f>IF(C8="","",E8-F8)</f>
        <v>13000</v>
      </c>
      <c r="I8" s="14">
        <f>IF(C8="","",IF(F8=0,IF(E8=0,"","New"),H8/ABS(F8)))</f>
        <v>0.16666666666666666</v>
      </c>
      <c r="J8" s="9">
        <f>IF(C8="","",E8-G8)</f>
        <v>6000</v>
      </c>
      <c r="K8" s="14">
        <f>IF(C8="","",IF(G8=0,IF(E8=0,"","New"),J8/ABS(G8)))</f>
        <v>0.07058823529411765</v>
      </c>
      <c r="L8" t="str">
        <f>IF('Start Here'!$B$8="Paste Import",'Paste Import'!H8,'Manual Input'!H8)</f>
        <v>Cost of Goods Sold</v>
      </c>
      <c r="M8" t="str">
        <f>IF(C8="","",IF(OR(D8="",L8=""),"Incomplete",IF(OR(AND(ABS(H8)&gt;='Start Here'!$B$10,IFERROR(ABS(I8)&gt;='Start Here'!$B$11,TRUE)),AND(ABS(J8)&gt;='Start Here'!$B$10,IFERROR(ABS(K8)&gt;='Start Here'!$B$11,TRUE))),"Review","OK")))</f>
        <v>Review</v>
      </c>
      <c r="N8" s="15"/>
      <c r="O8" s="9">
        <f>IF(M8="Review",ABS(H8)+ABS(J8)+ROW()/1000000,0)</f>
        <v>19000.000008</v>
      </c>
    </row>
    <row r="9" spans="1:15" x14ac:dyDescent="0.25">
      <c r="A9" t="str">
        <f>IF('Start Here'!$B$8="Paste Import",'Paste Import'!A9,'Manual Input'!A9)</f>
        <v>Income Statement</v>
      </c>
      <c r="B9" t="str">
        <f>IF('Start Here'!$B$8="Paste Import",'Paste Import'!B9,'Manual Input'!B9)</f>
        <v>6100</v>
      </c>
      <c r="C9" t="str">
        <f>IF('Start Here'!$B$8="Paste Import",'Paste Import'!C9,'Manual Input'!C9)</f>
        <v>Payroll</v>
      </c>
      <c r="D9" t="str">
        <f>IF('Start Here'!$B$8="Paste Import",'Paste Import'!D9,'Manual Input'!D9)</f>
        <v>Expense</v>
      </c>
      <c r="E9" s="9">
        <f>IF('Start Here'!$B$8="Paste Import",'Paste Import'!E9,'Manual Input'!E9)</f>
        <v>73000</v>
      </c>
      <c r="F9" s="9">
        <f>IF('Start Here'!$B$8="Paste Import",'Paste Import'!F9,'Manual Input'!F9)</f>
        <v>68000</v>
      </c>
      <c r="G9" s="9">
        <f>IF('Start Here'!$B$8="Paste Import",'Paste Import'!G9,'Manual Input'!G9)</f>
        <v>70000</v>
      </c>
      <c r="H9" s="9">
        <f>IF(C9="","",E9-F9)</f>
        <v>5000</v>
      </c>
      <c r="I9" s="14">
        <f>IF(C9="","",IF(F9=0,IF(E9=0,"","New"),H9/ABS(F9)))</f>
        <v>0.07352941176470588</v>
      </c>
      <c r="J9" s="9">
        <f>IF(C9="","",E9-G9)</f>
        <v>3000</v>
      </c>
      <c r="K9" s="14">
        <f>IF(C9="","",IF(G9=0,IF(E9=0,"","New"),J9/ABS(G9)))</f>
        <v>0.04285714285714286</v>
      </c>
      <c r="L9" t="str">
        <f>IF('Start Here'!$B$8="Paste Import",'Paste Import'!H9,'Manual Input'!H9)</f>
        <v>Operating Expense</v>
      </c>
      <c r="M9" t="str">
        <f>IF(C9="","",IF(OR(D9="",L9=""),"Incomplete",IF(OR(AND(ABS(H9)&gt;='Start Here'!$B$10,IFERROR(ABS(I9)&gt;='Start Here'!$B$11,TRUE)),AND(ABS(J9)&gt;='Start Here'!$B$10,IFERROR(ABS(K9)&gt;='Start Here'!$B$11,TRUE))),"Review","OK")))</f>
        <v>OK</v>
      </c>
      <c r="N9" s="15"/>
      <c r="O9" s="9">
        <f>IF(M9="Review",ABS(H9)+ABS(J9)+ROW()/1000000,0)</f>
        <v>0</v>
      </c>
    </row>
    <row r="10" spans="1:15" x14ac:dyDescent="0.25">
      <c r="A10" t="str">
        <f>IF('Start Here'!$B$8="Paste Import",'Paste Import'!A10,'Manual Input'!A10)</f>
        <v>Income Statement</v>
      </c>
      <c r="B10" t="str">
        <f>IF('Start Here'!$B$8="Paste Import",'Paste Import'!B10,'Manual Input'!B10)</f>
        <v>6200</v>
      </c>
      <c r="C10" t="str">
        <f>IF('Start Here'!$B$8="Paste Import",'Paste Import'!C10,'Manual Input'!C10)</f>
        <v>Marketing</v>
      </c>
      <c r="D10" t="str">
        <f>IF('Start Here'!$B$8="Paste Import",'Paste Import'!D10,'Manual Input'!D10)</f>
        <v>Expense</v>
      </c>
      <c r="E10" s="9">
        <f>IF('Start Here'!$B$8="Paste Import",'Paste Import'!E10,'Manual Input'!E10)</f>
        <v>31000</v>
      </c>
      <c r="F10" s="9">
        <f>IF('Start Here'!$B$8="Paste Import",'Paste Import'!F10,'Manual Input'!F10)</f>
        <v>19000</v>
      </c>
      <c r="G10" s="9">
        <f>IF('Start Here'!$B$8="Paste Import",'Paste Import'!G10,'Manual Input'!G10)</f>
        <v>20000</v>
      </c>
      <c r="H10" s="9">
        <f>IF(C10="","",E10-F10)</f>
        <v>12000</v>
      </c>
      <c r="I10" s="14">
        <f>IF(C10="","",IF(F10=0,IF(E10=0,"","New"),H10/ABS(F10)))</f>
        <v>0.631578947368421</v>
      </c>
      <c r="J10" s="9">
        <f>IF(C10="","",E10-G10)</f>
        <v>11000</v>
      </c>
      <c r="K10" s="14">
        <f>IF(C10="","",IF(G10=0,IF(E10=0,"","New"),J10/ABS(G10)))</f>
        <v>0.55</v>
      </c>
      <c r="L10" t="str">
        <f>IF('Start Here'!$B$8="Paste Import",'Paste Import'!H10,'Manual Input'!H10)</f>
        <v>Operating Expense</v>
      </c>
      <c r="M10" t="str">
        <f>IF(C10="","",IF(OR(D10="",L10=""),"Incomplete",IF(OR(AND(ABS(H10)&gt;='Start Here'!$B$10,IFERROR(ABS(I10)&gt;='Start Here'!$B$11,TRUE)),AND(ABS(J10)&gt;='Start Here'!$B$10,IFERROR(ABS(K10)&gt;='Start Here'!$B$11,TRUE))),"Review","OK")))</f>
        <v>Review</v>
      </c>
      <c r="N10" s="15"/>
      <c r="O10" s="9">
        <f>IF(M10="Review",ABS(H10)+ABS(J10)+ROW()/1000000,0)</f>
        <v>23000.00001</v>
      </c>
    </row>
    <row r="11" spans="1:15" x14ac:dyDescent="0.25">
      <c r="A11" t="str">
        <f>IF('Start Here'!$B$8="Paste Import",'Paste Import'!A11,'Manual Input'!A11)</f>
        <v>Income Statement</v>
      </c>
      <c r="B11" t="str">
        <f>IF('Start Here'!$B$8="Paste Import",'Paste Import'!B11,'Manual Input'!B11)</f>
        <v>6300</v>
      </c>
      <c r="C11" t="str">
        <f>IF('Start Here'!$B$8="Paste Import",'Paste Import'!C11,'Manual Input'!C11)</f>
        <v>Rent</v>
      </c>
      <c r="D11" t="str">
        <f>IF('Start Here'!$B$8="Paste Import",'Paste Import'!D11,'Manual Input'!D11)</f>
        <v>Expense</v>
      </c>
      <c r="E11" s="9">
        <f>IF('Start Here'!$B$8="Paste Import",'Paste Import'!E11,'Manual Input'!E11)</f>
        <v>18000</v>
      </c>
      <c r="F11" s="9">
        <f>IF('Start Here'!$B$8="Paste Import",'Paste Import'!F11,'Manual Input'!F11)</f>
        <v>18000</v>
      </c>
      <c r="G11" s="9">
        <f>IF('Start Here'!$B$8="Paste Import",'Paste Import'!G11,'Manual Input'!G11)</f>
        <v>18000</v>
      </c>
      <c r="H11" s="9">
        <f>IF(C11="","",E11-F11)</f>
        <v>0</v>
      </c>
      <c r="I11" s="14">
        <f>IF(C11="","",IF(F11=0,IF(E11=0,"","New"),H11/ABS(F11)))</f>
        <v>0</v>
      </c>
      <c r="J11" s="9">
        <f>IF(C11="","",E11-G11)</f>
        <v>0</v>
      </c>
      <c r="K11" s="14">
        <f>IF(C11="","",IF(G11=0,IF(E11=0,"","New"),J11/ABS(G11)))</f>
        <v>0</v>
      </c>
      <c r="L11" t="str">
        <f>IF('Start Here'!$B$8="Paste Import",'Paste Import'!H11,'Manual Input'!H11)</f>
        <v>Operating Expense</v>
      </c>
      <c r="M11" t="str">
        <f>IF(C11="","",IF(OR(D11="",L11=""),"Incomplete",IF(OR(AND(ABS(H11)&gt;='Start Here'!$B$10,IFERROR(ABS(I11)&gt;='Start Here'!$B$11,TRUE)),AND(ABS(J11)&gt;='Start Here'!$B$10,IFERROR(ABS(K11)&gt;='Start Here'!$B$11,TRUE))),"Review","OK")))</f>
        <v>OK</v>
      </c>
      <c r="N11" s="15"/>
      <c r="O11" s="9">
        <f>IF(M11="Review",ABS(H11)+ABS(J11)+ROW()/1000000,0)</f>
        <v>0</v>
      </c>
    </row>
    <row r="12" spans="1:15" x14ac:dyDescent="0.25">
      <c r="A12" t="str">
        <f>IF('Start Here'!$B$8="Paste Import",'Paste Import'!A12,'Manual Input'!A12)</f>
        <v>Balance Sheet</v>
      </c>
      <c r="B12" t="str">
        <f>IF('Start Here'!$B$8="Paste Import",'Paste Import'!B12,'Manual Input'!B12)</f>
        <v>1000</v>
      </c>
      <c r="C12" t="str">
        <f>IF('Start Here'!$B$8="Paste Import",'Paste Import'!C12,'Manual Input'!C12)</f>
        <v>Operating Cash</v>
      </c>
      <c r="D12" t="str">
        <f>IF('Start Here'!$B$8="Paste Import",'Paste Import'!D12,'Manual Input'!D12)</f>
        <v>Bank</v>
      </c>
      <c r="E12" s="9">
        <f>IF('Start Here'!$B$8="Paste Import",'Paste Import'!E12,'Manual Input'!E12)</f>
        <v>122000</v>
      </c>
      <c r="F12" s="9">
        <f>IF('Start Here'!$B$8="Paste Import",'Paste Import'!F12,'Manual Input'!F12)</f>
        <v>96000</v>
      </c>
      <c r="G12" s="9">
        <f>IF('Start Here'!$B$8="Paste Import",'Paste Import'!G12,'Manual Input'!G12)</f>
        <v>110000</v>
      </c>
      <c r="H12" s="9">
        <f>IF(C12="","",E12-F12)</f>
        <v>26000</v>
      </c>
      <c r="I12" s="14">
        <f>IF(C12="","",IF(F12=0,IF(E12=0,"","New"),H12/ABS(F12)))</f>
        <v>0.2708333333333333</v>
      </c>
      <c r="J12" s="9">
        <f>IF(C12="","",E12-G12)</f>
        <v>12000</v>
      </c>
      <c r="K12" s="14">
        <f>IF(C12="","",IF(G12=0,IF(E12=0,"","New"),J12/ABS(G12)))</f>
        <v>0.10909090909090909</v>
      </c>
      <c r="L12" t="str">
        <f>IF('Start Here'!$B$8="Paste Import",'Paste Import'!H12,'Manual Input'!H12)</f>
        <v>Cash</v>
      </c>
      <c r="M12" t="str">
        <f>IF(C12="","",IF(OR(D12="",L12=""),"Incomplete",IF(OR(AND(ABS(H12)&gt;='Start Here'!$B$10,IFERROR(ABS(I12)&gt;='Start Here'!$B$11,TRUE)),AND(ABS(J12)&gt;='Start Here'!$B$10,IFERROR(ABS(K12)&gt;='Start Here'!$B$11,TRUE))),"Review","OK")))</f>
        <v>Review</v>
      </c>
      <c r="N12" s="15"/>
      <c r="O12" s="9">
        <f>IF(M12="Review",ABS(H12)+ABS(J12)+ROW()/1000000,0)</f>
        <v>38000.000012</v>
      </c>
    </row>
    <row r="13" spans="1:15" x14ac:dyDescent="0.25">
      <c r="A13" t="str">
        <f>IF('Start Here'!$B$8="Paste Import",'Paste Import'!A13,'Manual Input'!A13)</f>
        <v>Balance Sheet</v>
      </c>
      <c r="B13" t="str">
        <f>IF('Start Here'!$B$8="Paste Import",'Paste Import'!B13,'Manual Input'!B13)</f>
        <v>1100</v>
      </c>
      <c r="C13" t="str">
        <f>IF('Start Here'!$B$8="Paste Import",'Paste Import'!C13,'Manual Input'!C13)</f>
        <v>Accounts Receivable</v>
      </c>
      <c r="D13" t="str">
        <f>IF('Start Here'!$B$8="Paste Import",'Paste Import'!D13,'Manual Input'!D13)</f>
        <v>Accounts Receivable</v>
      </c>
      <c r="E13" s="9">
        <f>IF('Start Here'!$B$8="Paste Import",'Paste Import'!E13,'Manual Input'!E13)</f>
        <v>87000</v>
      </c>
      <c r="F13" s="9">
        <f>IF('Start Here'!$B$8="Paste Import",'Paste Import'!F13,'Manual Input'!F13)</f>
        <v>72000</v>
      </c>
      <c r="G13" s="9">
        <f>IF('Start Here'!$B$8="Paste Import",'Paste Import'!G13,'Manual Input'!G13)</f>
        <v>76000</v>
      </c>
      <c r="H13" s="9">
        <f>IF(C13="","",E13-F13)</f>
        <v>15000</v>
      </c>
      <c r="I13" s="14">
        <f>IF(C13="","",IF(F13=0,IF(E13=0,"","New"),H13/ABS(F13)))</f>
        <v>0.20833333333333334</v>
      </c>
      <c r="J13" s="9">
        <f>IF(C13="","",E13-G13)</f>
        <v>11000</v>
      </c>
      <c r="K13" s="14">
        <f>IF(C13="","",IF(G13=0,IF(E13=0,"","New"),J13/ABS(G13)))</f>
        <v>0.14473684210526316</v>
      </c>
      <c r="L13" t="str">
        <f>IF('Start Here'!$B$8="Paste Import",'Paste Import'!H13,'Manual Input'!H13)</f>
        <v>Accounts Receivable</v>
      </c>
      <c r="M13" t="str">
        <f>IF(C13="","",IF(OR(D13="",L13=""),"Incomplete",IF(OR(AND(ABS(H13)&gt;='Start Here'!$B$10,IFERROR(ABS(I13)&gt;='Start Here'!$B$11,TRUE)),AND(ABS(J13)&gt;='Start Here'!$B$10,IFERROR(ABS(K13)&gt;='Start Here'!$B$11,TRUE))),"Review","OK")))</f>
        <v>Review</v>
      </c>
      <c r="N13" s="15"/>
      <c r="O13" s="9">
        <f>IF(M13="Review",ABS(H13)+ABS(J13)+ROW()/1000000,0)</f>
        <v>26000.000013</v>
      </c>
    </row>
    <row r="14" spans="1:15" x14ac:dyDescent="0.25">
      <c r="A14" t="str">
        <f>IF('Start Here'!$B$8="Paste Import",'Paste Import'!A14,'Manual Input'!A14)</f>
        <v>Balance Sheet</v>
      </c>
      <c r="B14" t="str">
        <f>IF('Start Here'!$B$8="Paste Import",'Paste Import'!B14,'Manual Input'!B14)</f>
        <v>1200</v>
      </c>
      <c r="C14" t="str">
        <f>IF('Start Here'!$B$8="Paste Import",'Paste Import'!C14,'Manual Input'!C14)</f>
        <v>Prepaid Expenses</v>
      </c>
      <c r="D14" t="str">
        <f>IF('Start Here'!$B$8="Paste Import",'Paste Import'!D14,'Manual Input'!D14)</f>
        <v>Other Current Asset</v>
      </c>
      <c r="E14" s="9">
        <f>IF('Start Here'!$B$8="Paste Import",'Paste Import'!E14,'Manual Input'!E14)</f>
        <v>14000</v>
      </c>
      <c r="F14" s="9">
        <f>IF('Start Here'!$B$8="Paste Import",'Paste Import'!F14,'Manual Input'!F14)</f>
        <v>12000</v>
      </c>
      <c r="G14" s="9">
        <f>IF('Start Here'!$B$8="Paste Import",'Paste Import'!G14,'Manual Input'!G14)</f>
        <v>13000</v>
      </c>
      <c r="H14" s="9">
        <f>IF(C14="","",E14-F14)</f>
        <v>2000</v>
      </c>
      <c r="I14" s="14">
        <f>IF(C14="","",IF(F14=0,IF(E14=0,"","New"),H14/ABS(F14)))</f>
        <v>0.16666666666666666</v>
      </c>
      <c r="J14" s="9">
        <f>IF(C14="","",E14-G14)</f>
        <v>1000</v>
      </c>
      <c r="K14" s="14">
        <f>IF(C14="","",IF(G14=0,IF(E14=0,"","New"),J14/ABS(G14)))</f>
        <v>0.07692307692307693</v>
      </c>
      <c r="L14" t="str">
        <f>IF('Start Here'!$B$8="Paste Import",'Paste Import'!H14,'Manual Input'!H14)</f>
        <v>Current Assets</v>
      </c>
      <c r="M14" t="str">
        <f>IF(C14="","",IF(OR(D14="",L14=""),"Incomplete",IF(OR(AND(ABS(H14)&gt;='Start Here'!$B$10,IFERROR(ABS(I14)&gt;='Start Here'!$B$11,TRUE)),AND(ABS(J14)&gt;='Start Here'!$B$10,IFERROR(ABS(K14)&gt;='Start Here'!$B$11,TRUE))),"Review","OK")))</f>
        <v>OK</v>
      </c>
      <c r="N14" s="15"/>
      <c r="O14" s="9">
        <f>IF(M14="Review",ABS(H14)+ABS(J14)+ROW()/1000000,0)</f>
        <v>0</v>
      </c>
    </row>
    <row r="15" spans="1:15" x14ac:dyDescent="0.25">
      <c r="A15" t="str">
        <f>IF('Start Here'!$B$8="Paste Import",'Paste Import'!A15,'Manual Input'!A15)</f>
        <v>Balance Sheet</v>
      </c>
      <c r="B15" t="str">
        <f>IF('Start Here'!$B$8="Paste Import",'Paste Import'!B15,'Manual Input'!B15)</f>
        <v>2000</v>
      </c>
      <c r="C15" t="str">
        <f>IF('Start Here'!$B$8="Paste Import",'Paste Import'!C15,'Manual Input'!C15)</f>
        <v>Accounts Payable</v>
      </c>
      <c r="D15" t="str">
        <f>IF('Start Here'!$B$8="Paste Import",'Paste Import'!D15,'Manual Input'!D15)</f>
        <v>Accounts Payable</v>
      </c>
      <c r="E15" s="9">
        <f>IF('Start Here'!$B$8="Paste Import",'Paste Import'!E15,'Manual Input'!E15)</f>
        <v>62000</v>
      </c>
      <c r="F15" s="9">
        <f>IF('Start Here'!$B$8="Paste Import",'Paste Import'!F15,'Manual Input'!F15)</f>
        <v>51000</v>
      </c>
      <c r="G15" s="9">
        <f>IF('Start Here'!$B$8="Paste Import",'Paste Import'!G15,'Manual Input'!G15)</f>
        <v>55000</v>
      </c>
      <c r="H15" s="9">
        <f>IF(C15="","",E15-F15)</f>
        <v>11000</v>
      </c>
      <c r="I15" s="14">
        <f>IF(C15="","",IF(F15=0,IF(E15=0,"","New"),H15/ABS(F15)))</f>
        <v>0.21568627450980393</v>
      </c>
      <c r="J15" s="9">
        <f>IF(C15="","",E15-G15)</f>
        <v>7000</v>
      </c>
      <c r="K15" s="14">
        <f>IF(C15="","",IF(G15=0,IF(E15=0,"","New"),J15/ABS(G15)))</f>
        <v>0.12727272727272726</v>
      </c>
      <c r="L15" t="str">
        <f>IF('Start Here'!$B$8="Paste Import",'Paste Import'!H15,'Manual Input'!H15)</f>
        <v>Accounts Payable</v>
      </c>
      <c r="M15" t="str">
        <f>IF(C15="","",IF(OR(D15="",L15=""),"Incomplete",IF(OR(AND(ABS(H15)&gt;='Start Here'!$B$10,IFERROR(ABS(I15)&gt;='Start Here'!$B$11,TRUE)),AND(ABS(J15)&gt;='Start Here'!$B$10,IFERROR(ABS(K15)&gt;='Start Here'!$B$11,TRUE))),"Review","OK")))</f>
        <v>Review</v>
      </c>
      <c r="N15" s="15"/>
      <c r="O15" s="9">
        <f>IF(M15="Review",ABS(H15)+ABS(J15)+ROW()/1000000,0)</f>
        <v>18000.000015</v>
      </c>
    </row>
    <row r="16" spans="1:15" x14ac:dyDescent="0.25">
      <c r="A16" t="str">
        <f>IF('Start Here'!$B$8="Paste Import",'Paste Import'!A16,'Manual Input'!A16)</f>
        <v>Balance Sheet</v>
      </c>
      <c r="B16" t="str">
        <f>IF('Start Here'!$B$8="Paste Import",'Paste Import'!B16,'Manual Input'!B16)</f>
        <v>2100</v>
      </c>
      <c r="C16" t="str">
        <f>IF('Start Here'!$B$8="Paste Import",'Paste Import'!C16,'Manual Input'!C16)</f>
        <v>Accrued Payroll</v>
      </c>
      <c r="D16" t="str">
        <f>IF('Start Here'!$B$8="Paste Import",'Paste Import'!D16,'Manual Input'!D16)</f>
        <v>Other Current Liability</v>
      </c>
      <c r="E16" s="9">
        <f>IF('Start Here'!$B$8="Paste Import",'Paste Import'!E16,'Manual Input'!E16)</f>
        <v>28000</v>
      </c>
      <c r="F16" s="9">
        <f>IF('Start Here'!$B$8="Paste Import",'Paste Import'!F16,'Manual Input'!F16)</f>
        <v>24000</v>
      </c>
      <c r="G16" s="9">
        <f>IF('Start Here'!$B$8="Paste Import",'Paste Import'!G16,'Manual Input'!G16)</f>
        <v>26000</v>
      </c>
      <c r="H16" s="9">
        <f>IF(C16="","",E16-F16)</f>
        <v>4000</v>
      </c>
      <c r="I16" s="14">
        <f>IF(C16="","",IF(F16=0,IF(E16=0,"","New"),H16/ABS(F16)))</f>
        <v>0.16666666666666666</v>
      </c>
      <c r="J16" s="9">
        <f>IF(C16="","",E16-G16)</f>
        <v>2000</v>
      </c>
      <c r="K16" s="14">
        <f>IF(C16="","",IF(G16=0,IF(E16=0,"","New"),J16/ABS(G16)))</f>
        <v>0.07692307692307693</v>
      </c>
      <c r="L16" t="str">
        <f>IF('Start Here'!$B$8="Paste Import",'Paste Import'!H16,'Manual Input'!H16)</f>
        <v>Current Liabilities</v>
      </c>
      <c r="M16" t="str">
        <f>IF(C16="","",IF(OR(D16="",L16=""),"Incomplete",IF(OR(AND(ABS(H16)&gt;='Start Here'!$B$10,IFERROR(ABS(I16)&gt;='Start Here'!$B$11,TRUE)),AND(ABS(J16)&gt;='Start Here'!$B$10,IFERROR(ABS(K16)&gt;='Start Here'!$B$11,TRUE))),"Review","OK")))</f>
        <v>OK</v>
      </c>
      <c r="N16" s="15"/>
      <c r="O16" s="9">
        <f>IF(M16="Review",ABS(H16)+ABS(J16)+ROW()/1000000,0)</f>
        <v>0</v>
      </c>
    </row>
    <row r="17" spans="1:15" x14ac:dyDescent="0.25">
      <c r="A17" t="str">
        <f>IF('Start Here'!$B$8="Paste Import",'Paste Import'!A17,'Manual Input'!A17)</f>
        <v>Balance Sheet</v>
      </c>
      <c r="B17" t="str">
        <f>IF('Start Here'!$B$8="Paste Import",'Paste Import'!B17,'Manual Input'!B17)</f>
        <v>2200</v>
      </c>
      <c r="C17" t="str">
        <f>IF('Start Here'!$B$8="Paste Import",'Paste Import'!C17,'Manual Input'!C17)</f>
        <v>Sales Tax Payable</v>
      </c>
      <c r="D17" t="str">
        <f>IF('Start Here'!$B$8="Paste Import",'Paste Import'!D17,'Manual Input'!D17)</f>
        <v>Other Current Liability</v>
      </c>
      <c r="E17" s="9">
        <f>IF('Start Here'!$B$8="Paste Import",'Paste Import'!E17,'Manual Input'!E17)</f>
        <v>9000</v>
      </c>
      <c r="F17" s="9">
        <f>IF('Start Here'!$B$8="Paste Import",'Paste Import'!F17,'Manual Input'!F17)</f>
        <v>8000</v>
      </c>
      <c r="G17" s="9">
        <f>IF('Start Here'!$B$8="Paste Import",'Paste Import'!G17,'Manual Input'!G17)</f>
        <v>8500</v>
      </c>
      <c r="H17" s="9">
        <f>IF(C17="","",E17-F17)</f>
        <v>1000</v>
      </c>
      <c r="I17" s="14">
        <f>IF(C17="","",IF(F17=0,IF(E17=0,"","New"),H17/ABS(F17)))</f>
        <v>0.125</v>
      </c>
      <c r="J17" s="9">
        <f>IF(C17="","",E17-G17)</f>
        <v>500</v>
      </c>
      <c r="K17" s="14">
        <f>IF(C17="","",IF(G17=0,IF(E17=0,"","New"),J17/ABS(G17)))</f>
        <v>0.058823529411764705</v>
      </c>
      <c r="L17" t="str">
        <f>IF('Start Here'!$B$8="Paste Import",'Paste Import'!H17,'Manual Input'!H17)</f>
        <v>Current Liabilities</v>
      </c>
      <c r="M17" t="str">
        <f>IF(C17="","",IF(OR(D17="",L17=""),"Incomplete",IF(OR(AND(ABS(H17)&gt;='Start Here'!$B$10,IFERROR(ABS(I17)&gt;='Start Here'!$B$11,TRUE)),AND(ABS(J17)&gt;='Start Here'!$B$10,IFERROR(ABS(K17)&gt;='Start Here'!$B$11,TRUE))),"Review","OK")))</f>
        <v>OK</v>
      </c>
      <c r="N17" s="15"/>
      <c r="O17" s="9">
        <f>IF(M17="Review",ABS(H17)+ABS(J17)+ROW()/1000000,0)</f>
        <v>0</v>
      </c>
    </row>
    <row r="18" spans="1:15" x14ac:dyDescent="0.25">
      <c r="A18" t="str">
        <f>IF('Start Here'!$B$8="Paste Import",'Paste Import'!A18,'Manual Input'!A18)</f>
        <v/>
      </c>
      <c r="B18" t="str">
        <f>IF('Start Here'!$B$8="Paste Import",'Paste Import'!B18,'Manual Input'!B18)</f>
        <v/>
      </c>
      <c r="C18" t="str">
        <f>IF('Start Here'!$B$8="Paste Import",'Paste Import'!C18,'Manual Input'!C18)</f>
        <v/>
      </c>
      <c r="D18" t="str">
        <f>IF('Start Here'!$B$8="Paste Import",'Paste Import'!D18,'Manual Input'!D18)</f>
        <v/>
      </c>
      <c r="E18" s="9" t="str">
        <f>IF('Start Here'!$B$8="Paste Import",'Paste Import'!E18,'Manual Input'!E18)</f>
        <v/>
      </c>
      <c r="F18" s="9" t="str">
        <f>IF('Start Here'!$B$8="Paste Import",'Paste Import'!F18,'Manual Input'!F18)</f>
        <v/>
      </c>
      <c r="G18" s="9" t="str">
        <f>IF('Start Here'!$B$8="Paste Import",'Paste Import'!G18,'Manual Input'!G18)</f>
        <v/>
      </c>
      <c r="H18" s="9" t="str">
        <f>IF(C18="","",E18-F18)</f>
        <v/>
      </c>
      <c r="I18" s="14" t="str">
        <f>IF(C18="","",IF(F18=0,IF(E18=0,"","New"),H18/ABS(F18)))</f>
        <v/>
      </c>
      <c r="J18" s="9" t="str">
        <f>IF(C18="","",E18-G18)</f>
        <v/>
      </c>
      <c r="K18" s="14" t="str">
        <f>IF(C18="","",IF(G18=0,IF(E18=0,"","New"),J18/ABS(G18)))</f>
        <v/>
      </c>
      <c r="L18" t="str">
        <f>IF('Start Here'!$B$8="Paste Import",'Paste Import'!H18,'Manual Input'!H18)</f>
        <v/>
      </c>
      <c r="M18" t="str">
        <f>IF(C18="","",IF(OR(D18="",L18=""),"Incomplete",IF(OR(AND(ABS(H18)&gt;='Start Here'!$B$10,IFERROR(ABS(I18)&gt;='Start Here'!$B$11,TRUE)),AND(ABS(J18)&gt;='Start Here'!$B$10,IFERROR(ABS(K18)&gt;='Start Here'!$B$11,TRUE))),"Review","OK")))</f>
        <v/>
      </c>
      <c r="N18" s="15"/>
      <c r="O18" s="9">
        <f>IF(M18="Review",ABS(H18)+ABS(J18)+ROW()/1000000,0)</f>
        <v>0</v>
      </c>
    </row>
    <row r="19" spans="1:15" x14ac:dyDescent="0.25">
      <c r="A19" t="str">
        <f>IF('Start Here'!$B$8="Paste Import",'Paste Import'!A19,'Manual Input'!A19)</f>
        <v/>
      </c>
      <c r="B19" t="str">
        <f>IF('Start Here'!$B$8="Paste Import",'Paste Import'!B19,'Manual Input'!B19)</f>
        <v/>
      </c>
      <c r="C19" t="str">
        <f>IF('Start Here'!$B$8="Paste Import",'Paste Import'!C19,'Manual Input'!C19)</f>
        <v/>
      </c>
      <c r="D19" t="str">
        <f>IF('Start Here'!$B$8="Paste Import",'Paste Import'!D19,'Manual Input'!D19)</f>
        <v/>
      </c>
      <c r="E19" s="9" t="str">
        <f>IF('Start Here'!$B$8="Paste Import",'Paste Import'!E19,'Manual Input'!E19)</f>
        <v/>
      </c>
      <c r="F19" s="9" t="str">
        <f>IF('Start Here'!$B$8="Paste Import",'Paste Import'!F19,'Manual Input'!F19)</f>
        <v/>
      </c>
      <c r="G19" s="9" t="str">
        <f>IF('Start Here'!$B$8="Paste Import",'Paste Import'!G19,'Manual Input'!G19)</f>
        <v/>
      </c>
      <c r="H19" s="9" t="str">
        <f>IF(C19="","",E19-F19)</f>
        <v/>
      </c>
      <c r="I19" s="14" t="str">
        <f>IF(C19="","",IF(F19=0,IF(E19=0,"","New"),H19/ABS(F19)))</f>
        <v/>
      </c>
      <c r="J19" s="9" t="str">
        <f>IF(C19="","",E19-G19)</f>
        <v/>
      </c>
      <c r="K19" s="14" t="str">
        <f>IF(C19="","",IF(G19=0,IF(E19=0,"","New"),J19/ABS(G19)))</f>
        <v/>
      </c>
      <c r="L19" t="str">
        <f>IF('Start Here'!$B$8="Paste Import",'Paste Import'!H19,'Manual Input'!H19)</f>
        <v/>
      </c>
      <c r="M19" t="str">
        <f>IF(C19="","",IF(OR(D19="",L19=""),"Incomplete",IF(OR(AND(ABS(H19)&gt;='Start Here'!$B$10,IFERROR(ABS(I19)&gt;='Start Here'!$B$11,TRUE)),AND(ABS(J19)&gt;='Start Here'!$B$10,IFERROR(ABS(K19)&gt;='Start Here'!$B$11,TRUE))),"Review","OK")))</f>
        <v/>
      </c>
      <c r="N19" s="15"/>
      <c r="O19" s="9">
        <f>IF(M19="Review",ABS(H19)+ABS(J19)+ROW()/1000000,0)</f>
        <v>0</v>
      </c>
    </row>
    <row r="20" spans="1:15" x14ac:dyDescent="0.25">
      <c r="A20" t="str">
        <f>IF('Start Here'!$B$8="Paste Import",'Paste Import'!A20,'Manual Input'!A20)</f>
        <v/>
      </c>
      <c r="B20" t="str">
        <f>IF('Start Here'!$B$8="Paste Import",'Paste Import'!B20,'Manual Input'!B20)</f>
        <v/>
      </c>
      <c r="C20" t="str">
        <f>IF('Start Here'!$B$8="Paste Import",'Paste Import'!C20,'Manual Input'!C20)</f>
        <v/>
      </c>
      <c r="D20" t="str">
        <f>IF('Start Here'!$B$8="Paste Import",'Paste Import'!D20,'Manual Input'!D20)</f>
        <v/>
      </c>
      <c r="E20" s="9" t="str">
        <f>IF('Start Here'!$B$8="Paste Import",'Paste Import'!E20,'Manual Input'!E20)</f>
        <v/>
      </c>
      <c r="F20" s="9" t="str">
        <f>IF('Start Here'!$B$8="Paste Import",'Paste Import'!F20,'Manual Input'!F20)</f>
        <v/>
      </c>
      <c r="G20" s="9" t="str">
        <f>IF('Start Here'!$B$8="Paste Import",'Paste Import'!G20,'Manual Input'!G20)</f>
        <v/>
      </c>
      <c r="H20" s="9" t="str">
        <f>IF(C20="","",E20-F20)</f>
        <v/>
      </c>
      <c r="I20" s="14" t="str">
        <f>IF(C20="","",IF(F20=0,IF(E20=0,"","New"),H20/ABS(F20)))</f>
        <v/>
      </c>
      <c r="J20" s="9" t="str">
        <f>IF(C20="","",E20-G20)</f>
        <v/>
      </c>
      <c r="K20" s="14" t="str">
        <f>IF(C20="","",IF(G20=0,IF(E20=0,"","New"),J20/ABS(G20)))</f>
        <v/>
      </c>
      <c r="L20" t="str">
        <f>IF('Start Here'!$B$8="Paste Import",'Paste Import'!H20,'Manual Input'!H20)</f>
        <v/>
      </c>
      <c r="M20" t="str">
        <f>IF(C20="","",IF(OR(D20="",L20=""),"Incomplete",IF(OR(AND(ABS(H20)&gt;='Start Here'!$B$10,IFERROR(ABS(I20)&gt;='Start Here'!$B$11,TRUE)),AND(ABS(J20)&gt;='Start Here'!$B$10,IFERROR(ABS(K20)&gt;='Start Here'!$B$11,TRUE))),"Review","OK")))</f>
        <v/>
      </c>
      <c r="N20" s="15"/>
      <c r="O20" s="9">
        <f>IF(M20="Review",ABS(H20)+ABS(J20)+ROW()/1000000,0)</f>
        <v>0</v>
      </c>
    </row>
    <row r="21" spans="1:15" x14ac:dyDescent="0.25">
      <c r="A21" t="str">
        <f>IF('Start Here'!$B$8="Paste Import",'Paste Import'!A21,'Manual Input'!A21)</f>
        <v/>
      </c>
      <c r="B21" t="str">
        <f>IF('Start Here'!$B$8="Paste Import",'Paste Import'!B21,'Manual Input'!B21)</f>
        <v/>
      </c>
      <c r="C21" t="str">
        <f>IF('Start Here'!$B$8="Paste Import",'Paste Import'!C21,'Manual Input'!C21)</f>
        <v/>
      </c>
      <c r="D21" t="str">
        <f>IF('Start Here'!$B$8="Paste Import",'Paste Import'!D21,'Manual Input'!D21)</f>
        <v/>
      </c>
      <c r="E21" s="9" t="str">
        <f>IF('Start Here'!$B$8="Paste Import",'Paste Import'!E21,'Manual Input'!E21)</f>
        <v/>
      </c>
      <c r="F21" s="9" t="str">
        <f>IF('Start Here'!$B$8="Paste Import",'Paste Import'!F21,'Manual Input'!F21)</f>
        <v/>
      </c>
      <c r="G21" s="9" t="str">
        <f>IF('Start Here'!$B$8="Paste Import",'Paste Import'!G21,'Manual Input'!G21)</f>
        <v/>
      </c>
      <c r="H21" s="9" t="str">
        <f>IF(C21="","",E21-F21)</f>
        <v/>
      </c>
      <c r="I21" s="14" t="str">
        <f>IF(C21="","",IF(F21=0,IF(E21=0,"","New"),H21/ABS(F21)))</f>
        <v/>
      </c>
      <c r="J21" s="9" t="str">
        <f>IF(C21="","",E21-G21)</f>
        <v/>
      </c>
      <c r="K21" s="14" t="str">
        <f>IF(C21="","",IF(G21=0,IF(E21=0,"","New"),J21/ABS(G21)))</f>
        <v/>
      </c>
      <c r="L21" t="str">
        <f>IF('Start Here'!$B$8="Paste Import",'Paste Import'!H21,'Manual Input'!H21)</f>
        <v/>
      </c>
      <c r="M21" t="str">
        <f>IF(C21="","",IF(OR(D21="",L21=""),"Incomplete",IF(OR(AND(ABS(H21)&gt;='Start Here'!$B$10,IFERROR(ABS(I21)&gt;='Start Here'!$B$11,TRUE)),AND(ABS(J21)&gt;='Start Here'!$B$10,IFERROR(ABS(K21)&gt;='Start Here'!$B$11,TRUE))),"Review","OK")))</f>
        <v/>
      </c>
      <c r="N21" s="15"/>
      <c r="O21" s="9">
        <f>IF(M21="Review",ABS(H21)+ABS(J21)+ROW()/1000000,0)</f>
        <v>0</v>
      </c>
    </row>
    <row r="22" spans="1:15" x14ac:dyDescent="0.25">
      <c r="A22" t="str">
        <f>IF('Start Here'!$B$8="Paste Import",'Paste Import'!A22,'Manual Input'!A22)</f>
        <v/>
      </c>
      <c r="B22" t="str">
        <f>IF('Start Here'!$B$8="Paste Import",'Paste Import'!B22,'Manual Input'!B22)</f>
        <v/>
      </c>
      <c r="C22" t="str">
        <f>IF('Start Here'!$B$8="Paste Import",'Paste Import'!C22,'Manual Input'!C22)</f>
        <v/>
      </c>
      <c r="D22" t="str">
        <f>IF('Start Here'!$B$8="Paste Import",'Paste Import'!D22,'Manual Input'!D22)</f>
        <v/>
      </c>
      <c r="E22" s="9" t="str">
        <f>IF('Start Here'!$B$8="Paste Import",'Paste Import'!E22,'Manual Input'!E22)</f>
        <v/>
      </c>
      <c r="F22" s="9" t="str">
        <f>IF('Start Here'!$B$8="Paste Import",'Paste Import'!F22,'Manual Input'!F22)</f>
        <v/>
      </c>
      <c r="G22" s="9" t="str">
        <f>IF('Start Here'!$B$8="Paste Import",'Paste Import'!G22,'Manual Input'!G22)</f>
        <v/>
      </c>
      <c r="H22" s="9" t="str">
        <f>IF(C22="","",E22-F22)</f>
        <v/>
      </c>
      <c r="I22" s="14" t="str">
        <f>IF(C22="","",IF(F22=0,IF(E22=0,"","New"),H22/ABS(F22)))</f>
        <v/>
      </c>
      <c r="J22" s="9" t="str">
        <f>IF(C22="","",E22-G22)</f>
        <v/>
      </c>
      <c r="K22" s="14" t="str">
        <f>IF(C22="","",IF(G22=0,IF(E22=0,"","New"),J22/ABS(G22)))</f>
        <v/>
      </c>
      <c r="L22" t="str">
        <f>IF('Start Here'!$B$8="Paste Import",'Paste Import'!H22,'Manual Input'!H22)</f>
        <v/>
      </c>
      <c r="M22" t="str">
        <f>IF(C22="","",IF(OR(D22="",L22=""),"Incomplete",IF(OR(AND(ABS(H22)&gt;='Start Here'!$B$10,IFERROR(ABS(I22)&gt;='Start Here'!$B$11,TRUE)),AND(ABS(J22)&gt;='Start Here'!$B$10,IFERROR(ABS(K22)&gt;='Start Here'!$B$11,TRUE))),"Review","OK")))</f>
        <v/>
      </c>
      <c r="N22" s="15"/>
      <c r="O22" s="9">
        <f>IF(M22="Review",ABS(H22)+ABS(J22)+ROW()/1000000,0)</f>
        <v>0</v>
      </c>
    </row>
    <row r="23" spans="1:15" x14ac:dyDescent="0.25">
      <c r="A23" t="str">
        <f>IF('Start Here'!$B$8="Paste Import",'Paste Import'!A23,'Manual Input'!A23)</f>
        <v/>
      </c>
      <c r="B23" t="str">
        <f>IF('Start Here'!$B$8="Paste Import",'Paste Import'!B23,'Manual Input'!B23)</f>
        <v/>
      </c>
      <c r="C23" t="str">
        <f>IF('Start Here'!$B$8="Paste Import",'Paste Import'!C23,'Manual Input'!C23)</f>
        <v/>
      </c>
      <c r="D23" t="str">
        <f>IF('Start Here'!$B$8="Paste Import",'Paste Import'!D23,'Manual Input'!D23)</f>
        <v/>
      </c>
      <c r="E23" s="9" t="str">
        <f>IF('Start Here'!$B$8="Paste Import",'Paste Import'!E23,'Manual Input'!E23)</f>
        <v/>
      </c>
      <c r="F23" s="9" t="str">
        <f>IF('Start Here'!$B$8="Paste Import",'Paste Import'!F23,'Manual Input'!F23)</f>
        <v/>
      </c>
      <c r="G23" s="9" t="str">
        <f>IF('Start Here'!$B$8="Paste Import",'Paste Import'!G23,'Manual Input'!G23)</f>
        <v/>
      </c>
      <c r="H23" s="9" t="str">
        <f>IF(C23="","",E23-F23)</f>
        <v/>
      </c>
      <c r="I23" s="14" t="str">
        <f>IF(C23="","",IF(F23=0,IF(E23=0,"","New"),H23/ABS(F23)))</f>
        <v/>
      </c>
      <c r="J23" s="9" t="str">
        <f>IF(C23="","",E23-G23)</f>
        <v/>
      </c>
      <c r="K23" s="14" t="str">
        <f>IF(C23="","",IF(G23=0,IF(E23=0,"","New"),J23/ABS(G23)))</f>
        <v/>
      </c>
      <c r="L23" t="str">
        <f>IF('Start Here'!$B$8="Paste Import",'Paste Import'!H23,'Manual Input'!H23)</f>
        <v/>
      </c>
      <c r="M23" t="str">
        <f>IF(C23="","",IF(OR(D23="",L23=""),"Incomplete",IF(OR(AND(ABS(H23)&gt;='Start Here'!$B$10,IFERROR(ABS(I23)&gt;='Start Here'!$B$11,TRUE)),AND(ABS(J23)&gt;='Start Here'!$B$10,IFERROR(ABS(K23)&gt;='Start Here'!$B$11,TRUE))),"Review","OK")))</f>
        <v/>
      </c>
      <c r="N23" s="15"/>
      <c r="O23" s="9">
        <f>IF(M23="Review",ABS(H23)+ABS(J23)+ROW()/1000000,0)</f>
        <v>0</v>
      </c>
    </row>
    <row r="24" spans="1:15" x14ac:dyDescent="0.25">
      <c r="A24" t="str">
        <f>IF('Start Here'!$B$8="Paste Import",'Paste Import'!A24,'Manual Input'!A24)</f>
        <v/>
      </c>
      <c r="B24" t="str">
        <f>IF('Start Here'!$B$8="Paste Import",'Paste Import'!B24,'Manual Input'!B24)</f>
        <v/>
      </c>
      <c r="C24" t="str">
        <f>IF('Start Here'!$B$8="Paste Import",'Paste Import'!C24,'Manual Input'!C24)</f>
        <v/>
      </c>
      <c r="D24" t="str">
        <f>IF('Start Here'!$B$8="Paste Import",'Paste Import'!D24,'Manual Input'!D24)</f>
        <v/>
      </c>
      <c r="E24" s="9" t="str">
        <f>IF('Start Here'!$B$8="Paste Import",'Paste Import'!E24,'Manual Input'!E24)</f>
        <v/>
      </c>
      <c r="F24" s="9" t="str">
        <f>IF('Start Here'!$B$8="Paste Import",'Paste Import'!F24,'Manual Input'!F24)</f>
        <v/>
      </c>
      <c r="G24" s="9" t="str">
        <f>IF('Start Here'!$B$8="Paste Import",'Paste Import'!G24,'Manual Input'!G24)</f>
        <v/>
      </c>
      <c r="H24" s="9" t="str">
        <f>IF(C24="","",E24-F24)</f>
        <v/>
      </c>
      <c r="I24" s="14" t="str">
        <f>IF(C24="","",IF(F24=0,IF(E24=0,"","New"),H24/ABS(F24)))</f>
        <v/>
      </c>
      <c r="J24" s="9" t="str">
        <f>IF(C24="","",E24-G24)</f>
        <v/>
      </c>
      <c r="K24" s="14" t="str">
        <f>IF(C24="","",IF(G24=0,IF(E24=0,"","New"),J24/ABS(G24)))</f>
        <v/>
      </c>
      <c r="L24" t="str">
        <f>IF('Start Here'!$B$8="Paste Import",'Paste Import'!H24,'Manual Input'!H24)</f>
        <v/>
      </c>
      <c r="M24" t="str">
        <f>IF(C24="","",IF(OR(D24="",L24=""),"Incomplete",IF(OR(AND(ABS(H24)&gt;='Start Here'!$B$10,IFERROR(ABS(I24)&gt;='Start Here'!$B$11,TRUE)),AND(ABS(J24)&gt;='Start Here'!$B$10,IFERROR(ABS(K24)&gt;='Start Here'!$B$11,TRUE))),"Review","OK")))</f>
        <v/>
      </c>
      <c r="N24" s="15"/>
      <c r="O24" s="9">
        <f>IF(M24="Review",ABS(H24)+ABS(J24)+ROW()/1000000,0)</f>
        <v>0</v>
      </c>
    </row>
    <row r="25" spans="1:15" x14ac:dyDescent="0.25">
      <c r="A25" t="str">
        <f>IF('Start Here'!$B$8="Paste Import",'Paste Import'!A25,'Manual Input'!A25)</f>
        <v/>
      </c>
      <c r="B25" t="str">
        <f>IF('Start Here'!$B$8="Paste Import",'Paste Import'!B25,'Manual Input'!B25)</f>
        <v/>
      </c>
      <c r="C25" t="str">
        <f>IF('Start Here'!$B$8="Paste Import",'Paste Import'!C25,'Manual Input'!C25)</f>
        <v/>
      </c>
      <c r="D25" t="str">
        <f>IF('Start Here'!$B$8="Paste Import",'Paste Import'!D25,'Manual Input'!D25)</f>
        <v/>
      </c>
      <c r="E25" s="9" t="str">
        <f>IF('Start Here'!$B$8="Paste Import",'Paste Import'!E25,'Manual Input'!E25)</f>
        <v/>
      </c>
      <c r="F25" s="9" t="str">
        <f>IF('Start Here'!$B$8="Paste Import",'Paste Import'!F25,'Manual Input'!F25)</f>
        <v/>
      </c>
      <c r="G25" s="9" t="str">
        <f>IF('Start Here'!$B$8="Paste Import",'Paste Import'!G25,'Manual Input'!G25)</f>
        <v/>
      </c>
      <c r="H25" s="9" t="str">
        <f>IF(C25="","",E25-F25)</f>
        <v/>
      </c>
      <c r="I25" s="14" t="str">
        <f>IF(C25="","",IF(F25=0,IF(E25=0,"","New"),H25/ABS(F25)))</f>
        <v/>
      </c>
      <c r="J25" s="9" t="str">
        <f>IF(C25="","",E25-G25)</f>
        <v/>
      </c>
      <c r="K25" s="14" t="str">
        <f>IF(C25="","",IF(G25=0,IF(E25=0,"","New"),J25/ABS(G25)))</f>
        <v/>
      </c>
      <c r="L25" t="str">
        <f>IF('Start Here'!$B$8="Paste Import",'Paste Import'!H25,'Manual Input'!H25)</f>
        <v/>
      </c>
      <c r="M25" t="str">
        <f>IF(C25="","",IF(OR(D25="",L25=""),"Incomplete",IF(OR(AND(ABS(H25)&gt;='Start Here'!$B$10,IFERROR(ABS(I25)&gt;='Start Here'!$B$11,TRUE)),AND(ABS(J25)&gt;='Start Here'!$B$10,IFERROR(ABS(K25)&gt;='Start Here'!$B$11,TRUE))),"Review","OK")))</f>
        <v/>
      </c>
      <c r="N25" s="15"/>
      <c r="O25" s="9">
        <f>IF(M25="Review",ABS(H25)+ABS(J25)+ROW()/1000000,0)</f>
        <v>0</v>
      </c>
    </row>
    <row r="26" spans="1:15" x14ac:dyDescent="0.25">
      <c r="A26" t="str">
        <f>IF('Start Here'!$B$8="Paste Import",'Paste Import'!A26,'Manual Input'!A26)</f>
        <v/>
      </c>
      <c r="B26" t="str">
        <f>IF('Start Here'!$B$8="Paste Import",'Paste Import'!B26,'Manual Input'!B26)</f>
        <v/>
      </c>
      <c r="C26" t="str">
        <f>IF('Start Here'!$B$8="Paste Import",'Paste Import'!C26,'Manual Input'!C26)</f>
        <v/>
      </c>
      <c r="D26" t="str">
        <f>IF('Start Here'!$B$8="Paste Import",'Paste Import'!D26,'Manual Input'!D26)</f>
        <v/>
      </c>
      <c r="E26" s="9" t="str">
        <f>IF('Start Here'!$B$8="Paste Import",'Paste Import'!E26,'Manual Input'!E26)</f>
        <v/>
      </c>
      <c r="F26" s="9" t="str">
        <f>IF('Start Here'!$B$8="Paste Import",'Paste Import'!F26,'Manual Input'!F26)</f>
        <v/>
      </c>
      <c r="G26" s="9" t="str">
        <f>IF('Start Here'!$B$8="Paste Import",'Paste Import'!G26,'Manual Input'!G26)</f>
        <v/>
      </c>
      <c r="H26" s="9" t="str">
        <f>IF(C26="","",E26-F26)</f>
        <v/>
      </c>
      <c r="I26" s="14" t="str">
        <f>IF(C26="","",IF(F26=0,IF(E26=0,"","New"),H26/ABS(F26)))</f>
        <v/>
      </c>
      <c r="J26" s="9" t="str">
        <f>IF(C26="","",E26-G26)</f>
        <v/>
      </c>
      <c r="K26" s="14" t="str">
        <f>IF(C26="","",IF(G26=0,IF(E26=0,"","New"),J26/ABS(G26)))</f>
        <v/>
      </c>
      <c r="L26" t="str">
        <f>IF('Start Here'!$B$8="Paste Import",'Paste Import'!H26,'Manual Input'!H26)</f>
        <v/>
      </c>
      <c r="M26" t="str">
        <f>IF(C26="","",IF(OR(D26="",L26=""),"Incomplete",IF(OR(AND(ABS(H26)&gt;='Start Here'!$B$10,IFERROR(ABS(I26)&gt;='Start Here'!$B$11,TRUE)),AND(ABS(J26)&gt;='Start Here'!$B$10,IFERROR(ABS(K26)&gt;='Start Here'!$B$11,TRUE))),"Review","OK")))</f>
        <v/>
      </c>
      <c r="N26" s="15"/>
      <c r="O26" s="9">
        <f>IF(M26="Review",ABS(H26)+ABS(J26)+ROW()/1000000,0)</f>
        <v>0</v>
      </c>
    </row>
    <row r="27" spans="1:15" x14ac:dyDescent="0.25">
      <c r="A27" t="str">
        <f>IF('Start Here'!$B$8="Paste Import",'Paste Import'!A27,'Manual Input'!A27)</f>
        <v/>
      </c>
      <c r="B27" t="str">
        <f>IF('Start Here'!$B$8="Paste Import",'Paste Import'!B27,'Manual Input'!B27)</f>
        <v/>
      </c>
      <c r="C27" t="str">
        <f>IF('Start Here'!$B$8="Paste Import",'Paste Import'!C27,'Manual Input'!C27)</f>
        <v/>
      </c>
      <c r="D27" t="str">
        <f>IF('Start Here'!$B$8="Paste Import",'Paste Import'!D27,'Manual Input'!D27)</f>
        <v/>
      </c>
      <c r="E27" s="9" t="str">
        <f>IF('Start Here'!$B$8="Paste Import",'Paste Import'!E27,'Manual Input'!E27)</f>
        <v/>
      </c>
      <c r="F27" s="9" t="str">
        <f>IF('Start Here'!$B$8="Paste Import",'Paste Import'!F27,'Manual Input'!F27)</f>
        <v/>
      </c>
      <c r="G27" s="9" t="str">
        <f>IF('Start Here'!$B$8="Paste Import",'Paste Import'!G27,'Manual Input'!G27)</f>
        <v/>
      </c>
      <c r="H27" s="9" t="str">
        <f>IF(C27="","",E27-F27)</f>
        <v/>
      </c>
      <c r="I27" s="14" t="str">
        <f>IF(C27="","",IF(F27=0,IF(E27=0,"","New"),H27/ABS(F27)))</f>
        <v/>
      </c>
      <c r="J27" s="9" t="str">
        <f>IF(C27="","",E27-G27)</f>
        <v/>
      </c>
      <c r="K27" s="14" t="str">
        <f>IF(C27="","",IF(G27=0,IF(E27=0,"","New"),J27/ABS(G27)))</f>
        <v/>
      </c>
      <c r="L27" t="str">
        <f>IF('Start Here'!$B$8="Paste Import",'Paste Import'!H27,'Manual Input'!H27)</f>
        <v/>
      </c>
      <c r="M27" t="str">
        <f>IF(C27="","",IF(OR(D27="",L27=""),"Incomplete",IF(OR(AND(ABS(H27)&gt;='Start Here'!$B$10,IFERROR(ABS(I27)&gt;='Start Here'!$B$11,TRUE)),AND(ABS(J27)&gt;='Start Here'!$B$10,IFERROR(ABS(K27)&gt;='Start Here'!$B$11,TRUE))),"Review","OK")))</f>
        <v/>
      </c>
      <c r="N27" s="15"/>
      <c r="O27" s="9">
        <f>IF(M27="Review",ABS(H27)+ABS(J27)+ROW()/1000000,0)</f>
        <v>0</v>
      </c>
    </row>
    <row r="28" spans="1:15" x14ac:dyDescent="0.25">
      <c r="A28" t="str">
        <f>IF('Start Here'!$B$8="Paste Import",'Paste Import'!A28,'Manual Input'!A28)</f>
        <v/>
      </c>
      <c r="B28" t="str">
        <f>IF('Start Here'!$B$8="Paste Import",'Paste Import'!B28,'Manual Input'!B28)</f>
        <v/>
      </c>
      <c r="C28" t="str">
        <f>IF('Start Here'!$B$8="Paste Import",'Paste Import'!C28,'Manual Input'!C28)</f>
        <v/>
      </c>
      <c r="D28" t="str">
        <f>IF('Start Here'!$B$8="Paste Import",'Paste Import'!D28,'Manual Input'!D28)</f>
        <v/>
      </c>
      <c r="E28" s="9" t="str">
        <f>IF('Start Here'!$B$8="Paste Import",'Paste Import'!E28,'Manual Input'!E28)</f>
        <v/>
      </c>
      <c r="F28" s="9" t="str">
        <f>IF('Start Here'!$B$8="Paste Import",'Paste Import'!F28,'Manual Input'!F28)</f>
        <v/>
      </c>
      <c r="G28" s="9" t="str">
        <f>IF('Start Here'!$B$8="Paste Import",'Paste Import'!G28,'Manual Input'!G28)</f>
        <v/>
      </c>
      <c r="H28" s="9" t="str">
        <f>IF(C28="","",E28-F28)</f>
        <v/>
      </c>
      <c r="I28" s="14" t="str">
        <f>IF(C28="","",IF(F28=0,IF(E28=0,"","New"),H28/ABS(F28)))</f>
        <v/>
      </c>
      <c r="J28" s="9" t="str">
        <f>IF(C28="","",E28-G28)</f>
        <v/>
      </c>
      <c r="K28" s="14" t="str">
        <f>IF(C28="","",IF(G28=0,IF(E28=0,"","New"),J28/ABS(G28)))</f>
        <v/>
      </c>
      <c r="L28" t="str">
        <f>IF('Start Here'!$B$8="Paste Import",'Paste Import'!H28,'Manual Input'!H28)</f>
        <v/>
      </c>
      <c r="M28" t="str">
        <f>IF(C28="","",IF(OR(D28="",L28=""),"Incomplete",IF(OR(AND(ABS(H28)&gt;='Start Here'!$B$10,IFERROR(ABS(I28)&gt;='Start Here'!$B$11,TRUE)),AND(ABS(J28)&gt;='Start Here'!$B$10,IFERROR(ABS(K28)&gt;='Start Here'!$B$11,TRUE))),"Review","OK")))</f>
        <v/>
      </c>
      <c r="N28" s="15"/>
      <c r="O28" s="9">
        <f>IF(M28="Review",ABS(H28)+ABS(J28)+ROW()/1000000,0)</f>
        <v>0</v>
      </c>
    </row>
    <row r="29" spans="1:15" x14ac:dyDescent="0.25">
      <c r="A29" t="str">
        <f>IF('Start Here'!$B$8="Paste Import",'Paste Import'!A29,'Manual Input'!A29)</f>
        <v/>
      </c>
      <c r="B29" t="str">
        <f>IF('Start Here'!$B$8="Paste Import",'Paste Import'!B29,'Manual Input'!B29)</f>
        <v/>
      </c>
      <c r="C29" t="str">
        <f>IF('Start Here'!$B$8="Paste Import",'Paste Import'!C29,'Manual Input'!C29)</f>
        <v/>
      </c>
      <c r="D29" t="str">
        <f>IF('Start Here'!$B$8="Paste Import",'Paste Import'!D29,'Manual Input'!D29)</f>
        <v/>
      </c>
      <c r="E29" s="9" t="str">
        <f>IF('Start Here'!$B$8="Paste Import",'Paste Import'!E29,'Manual Input'!E29)</f>
        <v/>
      </c>
      <c r="F29" s="9" t="str">
        <f>IF('Start Here'!$B$8="Paste Import",'Paste Import'!F29,'Manual Input'!F29)</f>
        <v/>
      </c>
      <c r="G29" s="9" t="str">
        <f>IF('Start Here'!$B$8="Paste Import",'Paste Import'!G29,'Manual Input'!G29)</f>
        <v/>
      </c>
      <c r="H29" s="9" t="str">
        <f>IF(C29="","",E29-F29)</f>
        <v/>
      </c>
      <c r="I29" s="14" t="str">
        <f>IF(C29="","",IF(F29=0,IF(E29=0,"","New"),H29/ABS(F29)))</f>
        <v/>
      </c>
      <c r="J29" s="9" t="str">
        <f>IF(C29="","",E29-G29)</f>
        <v/>
      </c>
      <c r="K29" s="14" t="str">
        <f>IF(C29="","",IF(G29=0,IF(E29=0,"","New"),J29/ABS(G29)))</f>
        <v/>
      </c>
      <c r="L29" t="str">
        <f>IF('Start Here'!$B$8="Paste Import",'Paste Import'!H29,'Manual Input'!H29)</f>
        <v/>
      </c>
      <c r="M29" t="str">
        <f>IF(C29="","",IF(OR(D29="",L29=""),"Incomplete",IF(OR(AND(ABS(H29)&gt;='Start Here'!$B$10,IFERROR(ABS(I29)&gt;='Start Here'!$B$11,TRUE)),AND(ABS(J29)&gt;='Start Here'!$B$10,IFERROR(ABS(K29)&gt;='Start Here'!$B$11,TRUE))),"Review","OK")))</f>
        <v/>
      </c>
      <c r="N29" s="15"/>
      <c r="O29" s="9">
        <f>IF(M29="Review",ABS(H29)+ABS(J29)+ROW()/1000000,0)</f>
        <v>0</v>
      </c>
    </row>
    <row r="30" spans="1:15" x14ac:dyDescent="0.25">
      <c r="A30" t="str">
        <f>IF('Start Here'!$B$8="Paste Import",'Paste Import'!A30,'Manual Input'!A30)</f>
        <v/>
      </c>
      <c r="B30" t="str">
        <f>IF('Start Here'!$B$8="Paste Import",'Paste Import'!B30,'Manual Input'!B30)</f>
        <v/>
      </c>
      <c r="C30" t="str">
        <f>IF('Start Here'!$B$8="Paste Import",'Paste Import'!C30,'Manual Input'!C30)</f>
        <v/>
      </c>
      <c r="D30" t="str">
        <f>IF('Start Here'!$B$8="Paste Import",'Paste Import'!D30,'Manual Input'!D30)</f>
        <v/>
      </c>
      <c r="E30" s="9" t="str">
        <f>IF('Start Here'!$B$8="Paste Import",'Paste Import'!E30,'Manual Input'!E30)</f>
        <v/>
      </c>
      <c r="F30" s="9" t="str">
        <f>IF('Start Here'!$B$8="Paste Import",'Paste Import'!F30,'Manual Input'!F30)</f>
        <v/>
      </c>
      <c r="G30" s="9" t="str">
        <f>IF('Start Here'!$B$8="Paste Import",'Paste Import'!G30,'Manual Input'!G30)</f>
        <v/>
      </c>
      <c r="H30" s="9" t="str">
        <f>IF(C30="","",E30-F30)</f>
        <v/>
      </c>
      <c r="I30" s="14" t="str">
        <f>IF(C30="","",IF(F30=0,IF(E30=0,"","New"),H30/ABS(F30)))</f>
        <v/>
      </c>
      <c r="J30" s="9" t="str">
        <f>IF(C30="","",E30-G30)</f>
        <v/>
      </c>
      <c r="K30" s="14" t="str">
        <f>IF(C30="","",IF(G30=0,IF(E30=0,"","New"),J30/ABS(G30)))</f>
        <v/>
      </c>
      <c r="L30" t="str">
        <f>IF('Start Here'!$B$8="Paste Import",'Paste Import'!H30,'Manual Input'!H30)</f>
        <v/>
      </c>
      <c r="M30" t="str">
        <f>IF(C30="","",IF(OR(D30="",L30=""),"Incomplete",IF(OR(AND(ABS(H30)&gt;='Start Here'!$B$10,IFERROR(ABS(I30)&gt;='Start Here'!$B$11,TRUE)),AND(ABS(J30)&gt;='Start Here'!$B$10,IFERROR(ABS(K30)&gt;='Start Here'!$B$11,TRUE))),"Review","OK")))</f>
        <v/>
      </c>
      <c r="N30" s="15"/>
      <c r="O30" s="9">
        <f>IF(M30="Review",ABS(H30)+ABS(J30)+ROW()/1000000,0)</f>
        <v>0</v>
      </c>
    </row>
    <row r="31" spans="1:15" x14ac:dyDescent="0.25">
      <c r="A31" t="str">
        <f>IF('Start Here'!$B$8="Paste Import",'Paste Import'!A31,'Manual Input'!A31)</f>
        <v/>
      </c>
      <c r="B31" t="str">
        <f>IF('Start Here'!$B$8="Paste Import",'Paste Import'!B31,'Manual Input'!B31)</f>
        <v/>
      </c>
      <c r="C31" t="str">
        <f>IF('Start Here'!$B$8="Paste Import",'Paste Import'!C31,'Manual Input'!C31)</f>
        <v/>
      </c>
      <c r="D31" t="str">
        <f>IF('Start Here'!$B$8="Paste Import",'Paste Import'!D31,'Manual Input'!D31)</f>
        <v/>
      </c>
      <c r="E31" s="9" t="str">
        <f>IF('Start Here'!$B$8="Paste Import",'Paste Import'!E31,'Manual Input'!E31)</f>
        <v/>
      </c>
      <c r="F31" s="9" t="str">
        <f>IF('Start Here'!$B$8="Paste Import",'Paste Import'!F31,'Manual Input'!F31)</f>
        <v/>
      </c>
      <c r="G31" s="9" t="str">
        <f>IF('Start Here'!$B$8="Paste Import",'Paste Import'!G31,'Manual Input'!G31)</f>
        <v/>
      </c>
      <c r="H31" s="9" t="str">
        <f>IF(C31="","",E31-F31)</f>
        <v/>
      </c>
      <c r="I31" s="14" t="str">
        <f>IF(C31="","",IF(F31=0,IF(E31=0,"","New"),H31/ABS(F31)))</f>
        <v/>
      </c>
      <c r="J31" s="9" t="str">
        <f>IF(C31="","",E31-G31)</f>
        <v/>
      </c>
      <c r="K31" s="14" t="str">
        <f>IF(C31="","",IF(G31=0,IF(E31=0,"","New"),J31/ABS(G31)))</f>
        <v/>
      </c>
      <c r="L31" t="str">
        <f>IF('Start Here'!$B$8="Paste Import",'Paste Import'!H31,'Manual Input'!H31)</f>
        <v/>
      </c>
      <c r="M31" t="str">
        <f>IF(C31="","",IF(OR(D31="",L31=""),"Incomplete",IF(OR(AND(ABS(H31)&gt;='Start Here'!$B$10,IFERROR(ABS(I31)&gt;='Start Here'!$B$11,TRUE)),AND(ABS(J31)&gt;='Start Here'!$B$10,IFERROR(ABS(K31)&gt;='Start Here'!$B$11,TRUE))),"Review","OK")))</f>
        <v/>
      </c>
      <c r="N31" s="15"/>
      <c r="O31" s="9">
        <f>IF(M31="Review",ABS(H31)+ABS(J31)+ROW()/1000000,0)</f>
        <v>0</v>
      </c>
    </row>
    <row r="32" spans="1:15" x14ac:dyDescent="0.25">
      <c r="A32" t="str">
        <f>IF('Start Here'!$B$8="Paste Import",'Paste Import'!A32,'Manual Input'!A32)</f>
        <v/>
      </c>
      <c r="B32" t="str">
        <f>IF('Start Here'!$B$8="Paste Import",'Paste Import'!B32,'Manual Input'!B32)</f>
        <v/>
      </c>
      <c r="C32" t="str">
        <f>IF('Start Here'!$B$8="Paste Import",'Paste Import'!C32,'Manual Input'!C32)</f>
        <v/>
      </c>
      <c r="D32" t="str">
        <f>IF('Start Here'!$B$8="Paste Import",'Paste Import'!D32,'Manual Input'!D32)</f>
        <v/>
      </c>
      <c r="E32" s="9" t="str">
        <f>IF('Start Here'!$B$8="Paste Import",'Paste Import'!E32,'Manual Input'!E32)</f>
        <v/>
      </c>
      <c r="F32" s="9" t="str">
        <f>IF('Start Here'!$B$8="Paste Import",'Paste Import'!F32,'Manual Input'!F32)</f>
        <v/>
      </c>
      <c r="G32" s="9" t="str">
        <f>IF('Start Here'!$B$8="Paste Import",'Paste Import'!G32,'Manual Input'!G32)</f>
        <v/>
      </c>
      <c r="H32" s="9" t="str">
        <f>IF(C32="","",E32-F32)</f>
        <v/>
      </c>
      <c r="I32" s="14" t="str">
        <f>IF(C32="","",IF(F32=0,IF(E32=0,"","New"),H32/ABS(F32)))</f>
        <v/>
      </c>
      <c r="J32" s="9" t="str">
        <f>IF(C32="","",E32-G32)</f>
        <v/>
      </c>
      <c r="K32" s="14" t="str">
        <f>IF(C32="","",IF(G32=0,IF(E32=0,"","New"),J32/ABS(G32)))</f>
        <v/>
      </c>
      <c r="L32" t="str">
        <f>IF('Start Here'!$B$8="Paste Import",'Paste Import'!H32,'Manual Input'!H32)</f>
        <v/>
      </c>
      <c r="M32" t="str">
        <f>IF(C32="","",IF(OR(D32="",L32=""),"Incomplete",IF(OR(AND(ABS(H32)&gt;='Start Here'!$B$10,IFERROR(ABS(I32)&gt;='Start Here'!$B$11,TRUE)),AND(ABS(J32)&gt;='Start Here'!$B$10,IFERROR(ABS(K32)&gt;='Start Here'!$B$11,TRUE))),"Review","OK")))</f>
        <v/>
      </c>
      <c r="N32" s="15"/>
      <c r="O32" s="9">
        <f>IF(M32="Review",ABS(H32)+ABS(J32)+ROW()/1000000,0)</f>
        <v>0</v>
      </c>
    </row>
    <row r="33" spans="1:15" x14ac:dyDescent="0.25">
      <c r="A33" t="str">
        <f>IF('Start Here'!$B$8="Paste Import",'Paste Import'!A33,'Manual Input'!A33)</f>
        <v/>
      </c>
      <c r="B33" t="str">
        <f>IF('Start Here'!$B$8="Paste Import",'Paste Import'!B33,'Manual Input'!B33)</f>
        <v/>
      </c>
      <c r="C33" t="str">
        <f>IF('Start Here'!$B$8="Paste Import",'Paste Import'!C33,'Manual Input'!C33)</f>
        <v/>
      </c>
      <c r="D33" t="str">
        <f>IF('Start Here'!$B$8="Paste Import",'Paste Import'!D33,'Manual Input'!D33)</f>
        <v/>
      </c>
      <c r="E33" s="9" t="str">
        <f>IF('Start Here'!$B$8="Paste Import",'Paste Import'!E33,'Manual Input'!E33)</f>
        <v/>
      </c>
      <c r="F33" s="9" t="str">
        <f>IF('Start Here'!$B$8="Paste Import",'Paste Import'!F33,'Manual Input'!F33)</f>
        <v/>
      </c>
      <c r="G33" s="9" t="str">
        <f>IF('Start Here'!$B$8="Paste Import",'Paste Import'!G33,'Manual Input'!G33)</f>
        <v/>
      </c>
      <c r="H33" s="9" t="str">
        <f>IF(C33="","",E33-F33)</f>
        <v/>
      </c>
      <c r="I33" s="14" t="str">
        <f>IF(C33="","",IF(F33=0,IF(E33=0,"","New"),H33/ABS(F33)))</f>
        <v/>
      </c>
      <c r="J33" s="9" t="str">
        <f>IF(C33="","",E33-G33)</f>
        <v/>
      </c>
      <c r="K33" s="14" t="str">
        <f>IF(C33="","",IF(G33=0,IF(E33=0,"","New"),J33/ABS(G33)))</f>
        <v/>
      </c>
      <c r="L33" t="str">
        <f>IF('Start Here'!$B$8="Paste Import",'Paste Import'!H33,'Manual Input'!H33)</f>
        <v/>
      </c>
      <c r="M33" t="str">
        <f>IF(C33="","",IF(OR(D33="",L33=""),"Incomplete",IF(OR(AND(ABS(H33)&gt;='Start Here'!$B$10,IFERROR(ABS(I33)&gt;='Start Here'!$B$11,TRUE)),AND(ABS(J33)&gt;='Start Here'!$B$10,IFERROR(ABS(K33)&gt;='Start Here'!$B$11,TRUE))),"Review","OK")))</f>
        <v/>
      </c>
      <c r="N33" s="15"/>
      <c r="O33" s="9">
        <f>IF(M33="Review",ABS(H33)+ABS(J33)+ROW()/1000000,0)</f>
        <v>0</v>
      </c>
    </row>
    <row r="34" spans="1:15" x14ac:dyDescent="0.25">
      <c r="A34" t="str">
        <f>IF('Start Here'!$B$8="Paste Import",'Paste Import'!A34,'Manual Input'!A34)</f>
        <v/>
      </c>
      <c r="B34" t="str">
        <f>IF('Start Here'!$B$8="Paste Import",'Paste Import'!B34,'Manual Input'!B34)</f>
        <v/>
      </c>
      <c r="C34" t="str">
        <f>IF('Start Here'!$B$8="Paste Import",'Paste Import'!C34,'Manual Input'!C34)</f>
        <v/>
      </c>
      <c r="D34" t="str">
        <f>IF('Start Here'!$B$8="Paste Import",'Paste Import'!D34,'Manual Input'!D34)</f>
        <v/>
      </c>
      <c r="E34" s="9" t="str">
        <f>IF('Start Here'!$B$8="Paste Import",'Paste Import'!E34,'Manual Input'!E34)</f>
        <v/>
      </c>
      <c r="F34" s="9" t="str">
        <f>IF('Start Here'!$B$8="Paste Import",'Paste Import'!F34,'Manual Input'!F34)</f>
        <v/>
      </c>
      <c r="G34" s="9" t="str">
        <f>IF('Start Here'!$B$8="Paste Import",'Paste Import'!G34,'Manual Input'!G34)</f>
        <v/>
      </c>
      <c r="H34" s="9" t="str">
        <f>IF(C34="","",E34-F34)</f>
        <v/>
      </c>
      <c r="I34" s="14" t="str">
        <f>IF(C34="","",IF(F34=0,IF(E34=0,"","New"),H34/ABS(F34)))</f>
        <v/>
      </c>
      <c r="J34" s="9" t="str">
        <f>IF(C34="","",E34-G34)</f>
        <v/>
      </c>
      <c r="K34" s="14" t="str">
        <f>IF(C34="","",IF(G34=0,IF(E34=0,"","New"),J34/ABS(G34)))</f>
        <v/>
      </c>
      <c r="L34" t="str">
        <f>IF('Start Here'!$B$8="Paste Import",'Paste Import'!H34,'Manual Input'!H34)</f>
        <v/>
      </c>
      <c r="M34" t="str">
        <f>IF(C34="","",IF(OR(D34="",L34=""),"Incomplete",IF(OR(AND(ABS(H34)&gt;='Start Here'!$B$10,IFERROR(ABS(I34)&gt;='Start Here'!$B$11,TRUE)),AND(ABS(J34)&gt;='Start Here'!$B$10,IFERROR(ABS(K34)&gt;='Start Here'!$B$11,TRUE))),"Review","OK")))</f>
        <v/>
      </c>
      <c r="N34" s="15"/>
      <c r="O34" s="9">
        <f>IF(M34="Review",ABS(H34)+ABS(J34)+ROW()/1000000,0)</f>
        <v>0</v>
      </c>
    </row>
    <row r="35" spans="1:15" x14ac:dyDescent="0.25">
      <c r="A35" t="str">
        <f>IF('Start Here'!$B$8="Paste Import",'Paste Import'!A35,'Manual Input'!A35)</f>
        <v/>
      </c>
      <c r="B35" t="str">
        <f>IF('Start Here'!$B$8="Paste Import",'Paste Import'!B35,'Manual Input'!B35)</f>
        <v/>
      </c>
      <c r="C35" t="str">
        <f>IF('Start Here'!$B$8="Paste Import",'Paste Import'!C35,'Manual Input'!C35)</f>
        <v/>
      </c>
      <c r="D35" t="str">
        <f>IF('Start Here'!$B$8="Paste Import",'Paste Import'!D35,'Manual Input'!D35)</f>
        <v/>
      </c>
      <c r="E35" s="9" t="str">
        <f>IF('Start Here'!$B$8="Paste Import",'Paste Import'!E35,'Manual Input'!E35)</f>
        <v/>
      </c>
      <c r="F35" s="9" t="str">
        <f>IF('Start Here'!$B$8="Paste Import",'Paste Import'!F35,'Manual Input'!F35)</f>
        <v/>
      </c>
      <c r="G35" s="9" t="str">
        <f>IF('Start Here'!$B$8="Paste Import",'Paste Import'!G35,'Manual Input'!G35)</f>
        <v/>
      </c>
      <c r="H35" s="9" t="str">
        <f>IF(C35="","",E35-F35)</f>
        <v/>
      </c>
      <c r="I35" s="14" t="str">
        <f>IF(C35="","",IF(F35=0,IF(E35=0,"","New"),H35/ABS(F35)))</f>
        <v/>
      </c>
      <c r="J35" s="9" t="str">
        <f>IF(C35="","",E35-G35)</f>
        <v/>
      </c>
      <c r="K35" s="14" t="str">
        <f>IF(C35="","",IF(G35=0,IF(E35=0,"","New"),J35/ABS(G35)))</f>
        <v/>
      </c>
      <c r="L35" t="str">
        <f>IF('Start Here'!$B$8="Paste Import",'Paste Import'!H35,'Manual Input'!H35)</f>
        <v/>
      </c>
      <c r="M35" t="str">
        <f>IF(C35="","",IF(OR(D35="",L35=""),"Incomplete",IF(OR(AND(ABS(H35)&gt;='Start Here'!$B$10,IFERROR(ABS(I35)&gt;='Start Here'!$B$11,TRUE)),AND(ABS(J35)&gt;='Start Here'!$B$10,IFERROR(ABS(K35)&gt;='Start Here'!$B$11,TRUE))),"Review","OK")))</f>
        <v/>
      </c>
      <c r="N35" s="15"/>
      <c r="O35" s="9">
        <f>IF(M35="Review",ABS(H35)+ABS(J35)+ROW()/1000000,0)</f>
        <v>0</v>
      </c>
    </row>
    <row r="36" spans="1:15" x14ac:dyDescent="0.25">
      <c r="A36" t="str">
        <f>IF('Start Here'!$B$8="Paste Import",'Paste Import'!A36,'Manual Input'!A36)</f>
        <v/>
      </c>
      <c r="B36" t="str">
        <f>IF('Start Here'!$B$8="Paste Import",'Paste Import'!B36,'Manual Input'!B36)</f>
        <v/>
      </c>
      <c r="C36" t="str">
        <f>IF('Start Here'!$B$8="Paste Import",'Paste Import'!C36,'Manual Input'!C36)</f>
        <v/>
      </c>
      <c r="D36" t="str">
        <f>IF('Start Here'!$B$8="Paste Import",'Paste Import'!D36,'Manual Input'!D36)</f>
        <v/>
      </c>
      <c r="E36" s="9" t="str">
        <f>IF('Start Here'!$B$8="Paste Import",'Paste Import'!E36,'Manual Input'!E36)</f>
        <v/>
      </c>
      <c r="F36" s="9" t="str">
        <f>IF('Start Here'!$B$8="Paste Import",'Paste Import'!F36,'Manual Input'!F36)</f>
        <v/>
      </c>
      <c r="G36" s="9" t="str">
        <f>IF('Start Here'!$B$8="Paste Import",'Paste Import'!G36,'Manual Input'!G36)</f>
        <v/>
      </c>
      <c r="H36" s="9" t="str">
        <f>IF(C36="","",E36-F36)</f>
        <v/>
      </c>
      <c r="I36" s="14" t="str">
        <f>IF(C36="","",IF(F36=0,IF(E36=0,"","New"),H36/ABS(F36)))</f>
        <v/>
      </c>
      <c r="J36" s="9" t="str">
        <f>IF(C36="","",E36-G36)</f>
        <v/>
      </c>
      <c r="K36" s="14" t="str">
        <f>IF(C36="","",IF(G36=0,IF(E36=0,"","New"),J36/ABS(G36)))</f>
        <v/>
      </c>
      <c r="L36" t="str">
        <f>IF('Start Here'!$B$8="Paste Import",'Paste Import'!H36,'Manual Input'!H36)</f>
        <v/>
      </c>
      <c r="M36" t="str">
        <f>IF(C36="","",IF(OR(D36="",L36=""),"Incomplete",IF(OR(AND(ABS(H36)&gt;='Start Here'!$B$10,IFERROR(ABS(I36)&gt;='Start Here'!$B$11,TRUE)),AND(ABS(J36)&gt;='Start Here'!$B$10,IFERROR(ABS(K36)&gt;='Start Here'!$B$11,TRUE))),"Review","OK")))</f>
        <v/>
      </c>
      <c r="N36" s="15"/>
      <c r="O36" s="9">
        <f>IF(M36="Review",ABS(H36)+ABS(J36)+ROW()/1000000,0)</f>
        <v>0</v>
      </c>
    </row>
    <row r="37" spans="1:15" x14ac:dyDescent="0.25">
      <c r="A37" t="str">
        <f>IF('Start Here'!$B$8="Paste Import",'Paste Import'!A37,'Manual Input'!A37)</f>
        <v/>
      </c>
      <c r="B37" t="str">
        <f>IF('Start Here'!$B$8="Paste Import",'Paste Import'!B37,'Manual Input'!B37)</f>
        <v/>
      </c>
      <c r="C37" t="str">
        <f>IF('Start Here'!$B$8="Paste Import",'Paste Import'!C37,'Manual Input'!C37)</f>
        <v/>
      </c>
      <c r="D37" t="str">
        <f>IF('Start Here'!$B$8="Paste Import",'Paste Import'!D37,'Manual Input'!D37)</f>
        <v/>
      </c>
      <c r="E37" s="9" t="str">
        <f>IF('Start Here'!$B$8="Paste Import",'Paste Import'!E37,'Manual Input'!E37)</f>
        <v/>
      </c>
      <c r="F37" s="9" t="str">
        <f>IF('Start Here'!$B$8="Paste Import",'Paste Import'!F37,'Manual Input'!F37)</f>
        <v/>
      </c>
      <c r="G37" s="9" t="str">
        <f>IF('Start Here'!$B$8="Paste Import",'Paste Import'!G37,'Manual Input'!G37)</f>
        <v/>
      </c>
      <c r="H37" s="9" t="str">
        <f>IF(C37="","",E37-F37)</f>
        <v/>
      </c>
      <c r="I37" s="14" t="str">
        <f>IF(C37="","",IF(F37=0,IF(E37=0,"","New"),H37/ABS(F37)))</f>
        <v/>
      </c>
      <c r="J37" s="9" t="str">
        <f>IF(C37="","",E37-G37)</f>
        <v/>
      </c>
      <c r="K37" s="14" t="str">
        <f>IF(C37="","",IF(G37=0,IF(E37=0,"","New"),J37/ABS(G37)))</f>
        <v/>
      </c>
      <c r="L37" t="str">
        <f>IF('Start Here'!$B$8="Paste Import",'Paste Import'!H37,'Manual Input'!H37)</f>
        <v/>
      </c>
      <c r="M37" t="str">
        <f>IF(C37="","",IF(OR(D37="",L37=""),"Incomplete",IF(OR(AND(ABS(H37)&gt;='Start Here'!$B$10,IFERROR(ABS(I37)&gt;='Start Here'!$B$11,TRUE)),AND(ABS(J37)&gt;='Start Here'!$B$10,IFERROR(ABS(K37)&gt;='Start Here'!$B$11,TRUE))),"Review","OK")))</f>
        <v/>
      </c>
      <c r="N37" s="15"/>
      <c r="O37" s="9">
        <f>IF(M37="Review",ABS(H37)+ABS(J37)+ROW()/1000000,0)</f>
        <v>0</v>
      </c>
    </row>
    <row r="38" spans="1:15" x14ac:dyDescent="0.25">
      <c r="A38" t="str">
        <f>IF('Start Here'!$B$8="Paste Import",'Paste Import'!A38,'Manual Input'!A38)</f>
        <v/>
      </c>
      <c r="B38" t="str">
        <f>IF('Start Here'!$B$8="Paste Import",'Paste Import'!B38,'Manual Input'!B38)</f>
        <v/>
      </c>
      <c r="C38" t="str">
        <f>IF('Start Here'!$B$8="Paste Import",'Paste Import'!C38,'Manual Input'!C38)</f>
        <v/>
      </c>
      <c r="D38" t="str">
        <f>IF('Start Here'!$B$8="Paste Import",'Paste Import'!D38,'Manual Input'!D38)</f>
        <v/>
      </c>
      <c r="E38" s="9" t="str">
        <f>IF('Start Here'!$B$8="Paste Import",'Paste Import'!E38,'Manual Input'!E38)</f>
        <v/>
      </c>
      <c r="F38" s="9" t="str">
        <f>IF('Start Here'!$B$8="Paste Import",'Paste Import'!F38,'Manual Input'!F38)</f>
        <v/>
      </c>
      <c r="G38" s="9" t="str">
        <f>IF('Start Here'!$B$8="Paste Import",'Paste Import'!G38,'Manual Input'!G38)</f>
        <v/>
      </c>
      <c r="H38" s="9" t="str">
        <f>IF(C38="","",E38-F38)</f>
        <v/>
      </c>
      <c r="I38" s="14" t="str">
        <f>IF(C38="","",IF(F38=0,IF(E38=0,"","New"),H38/ABS(F38)))</f>
        <v/>
      </c>
      <c r="J38" s="9" t="str">
        <f>IF(C38="","",E38-G38)</f>
        <v/>
      </c>
      <c r="K38" s="14" t="str">
        <f>IF(C38="","",IF(G38=0,IF(E38=0,"","New"),J38/ABS(G38)))</f>
        <v/>
      </c>
      <c r="L38" t="str">
        <f>IF('Start Here'!$B$8="Paste Import",'Paste Import'!H38,'Manual Input'!H38)</f>
        <v/>
      </c>
      <c r="M38" t="str">
        <f>IF(C38="","",IF(OR(D38="",L38=""),"Incomplete",IF(OR(AND(ABS(H38)&gt;='Start Here'!$B$10,IFERROR(ABS(I38)&gt;='Start Here'!$B$11,TRUE)),AND(ABS(J38)&gt;='Start Here'!$B$10,IFERROR(ABS(K38)&gt;='Start Here'!$B$11,TRUE))),"Review","OK")))</f>
        <v/>
      </c>
      <c r="N38" s="15"/>
      <c r="O38" s="9">
        <f>IF(M38="Review",ABS(H38)+ABS(J38)+ROW()/1000000,0)</f>
        <v>0</v>
      </c>
    </row>
    <row r="39" spans="1:15" x14ac:dyDescent="0.25">
      <c r="A39" t="str">
        <f>IF('Start Here'!$B$8="Paste Import",'Paste Import'!A39,'Manual Input'!A39)</f>
        <v/>
      </c>
      <c r="B39" t="str">
        <f>IF('Start Here'!$B$8="Paste Import",'Paste Import'!B39,'Manual Input'!B39)</f>
        <v/>
      </c>
      <c r="C39" t="str">
        <f>IF('Start Here'!$B$8="Paste Import",'Paste Import'!C39,'Manual Input'!C39)</f>
        <v/>
      </c>
      <c r="D39" t="str">
        <f>IF('Start Here'!$B$8="Paste Import",'Paste Import'!D39,'Manual Input'!D39)</f>
        <v/>
      </c>
      <c r="E39" s="9" t="str">
        <f>IF('Start Here'!$B$8="Paste Import",'Paste Import'!E39,'Manual Input'!E39)</f>
        <v/>
      </c>
      <c r="F39" s="9" t="str">
        <f>IF('Start Here'!$B$8="Paste Import",'Paste Import'!F39,'Manual Input'!F39)</f>
        <v/>
      </c>
      <c r="G39" s="9" t="str">
        <f>IF('Start Here'!$B$8="Paste Import",'Paste Import'!G39,'Manual Input'!G39)</f>
        <v/>
      </c>
      <c r="H39" s="9" t="str">
        <f>IF(C39="","",E39-F39)</f>
        <v/>
      </c>
      <c r="I39" s="14" t="str">
        <f>IF(C39="","",IF(F39=0,IF(E39=0,"","New"),H39/ABS(F39)))</f>
        <v/>
      </c>
      <c r="J39" s="9" t="str">
        <f>IF(C39="","",E39-G39)</f>
        <v/>
      </c>
      <c r="K39" s="14" t="str">
        <f>IF(C39="","",IF(G39=0,IF(E39=0,"","New"),J39/ABS(G39)))</f>
        <v/>
      </c>
      <c r="L39" t="str">
        <f>IF('Start Here'!$B$8="Paste Import",'Paste Import'!H39,'Manual Input'!H39)</f>
        <v/>
      </c>
      <c r="M39" t="str">
        <f>IF(C39="","",IF(OR(D39="",L39=""),"Incomplete",IF(OR(AND(ABS(H39)&gt;='Start Here'!$B$10,IFERROR(ABS(I39)&gt;='Start Here'!$B$11,TRUE)),AND(ABS(J39)&gt;='Start Here'!$B$10,IFERROR(ABS(K39)&gt;='Start Here'!$B$11,TRUE))),"Review","OK")))</f>
        <v/>
      </c>
      <c r="N39" s="15"/>
      <c r="O39" s="9">
        <f>IF(M39="Review",ABS(H39)+ABS(J39)+ROW()/1000000,0)</f>
        <v>0</v>
      </c>
    </row>
    <row r="40" spans="1:15" x14ac:dyDescent="0.25">
      <c r="A40" t="str">
        <f>IF('Start Here'!$B$8="Paste Import",'Paste Import'!A40,'Manual Input'!A40)</f>
        <v/>
      </c>
      <c r="B40" t="str">
        <f>IF('Start Here'!$B$8="Paste Import",'Paste Import'!B40,'Manual Input'!B40)</f>
        <v/>
      </c>
      <c r="C40" t="str">
        <f>IF('Start Here'!$B$8="Paste Import",'Paste Import'!C40,'Manual Input'!C40)</f>
        <v/>
      </c>
      <c r="D40" t="str">
        <f>IF('Start Here'!$B$8="Paste Import",'Paste Import'!D40,'Manual Input'!D40)</f>
        <v/>
      </c>
      <c r="E40" s="9" t="str">
        <f>IF('Start Here'!$B$8="Paste Import",'Paste Import'!E40,'Manual Input'!E40)</f>
        <v/>
      </c>
      <c r="F40" s="9" t="str">
        <f>IF('Start Here'!$B$8="Paste Import",'Paste Import'!F40,'Manual Input'!F40)</f>
        <v/>
      </c>
      <c r="G40" s="9" t="str">
        <f>IF('Start Here'!$B$8="Paste Import",'Paste Import'!G40,'Manual Input'!G40)</f>
        <v/>
      </c>
      <c r="H40" s="9" t="str">
        <f>IF(C40="","",E40-F40)</f>
        <v/>
      </c>
      <c r="I40" s="14" t="str">
        <f>IF(C40="","",IF(F40=0,IF(E40=0,"","New"),H40/ABS(F40)))</f>
        <v/>
      </c>
      <c r="J40" s="9" t="str">
        <f>IF(C40="","",E40-G40)</f>
        <v/>
      </c>
      <c r="K40" s="14" t="str">
        <f>IF(C40="","",IF(G40=0,IF(E40=0,"","New"),J40/ABS(G40)))</f>
        <v/>
      </c>
      <c r="L40" t="str">
        <f>IF('Start Here'!$B$8="Paste Import",'Paste Import'!H40,'Manual Input'!H40)</f>
        <v/>
      </c>
      <c r="M40" t="str">
        <f>IF(C40="","",IF(OR(D40="",L40=""),"Incomplete",IF(OR(AND(ABS(H40)&gt;='Start Here'!$B$10,IFERROR(ABS(I40)&gt;='Start Here'!$B$11,TRUE)),AND(ABS(J40)&gt;='Start Here'!$B$10,IFERROR(ABS(K40)&gt;='Start Here'!$B$11,TRUE))),"Review","OK")))</f>
        <v/>
      </c>
      <c r="N40" s="15"/>
      <c r="O40" s="9">
        <f>IF(M40="Review",ABS(H40)+ABS(J40)+ROW()/1000000,0)</f>
        <v>0</v>
      </c>
    </row>
    <row r="41" spans="1:15" x14ac:dyDescent="0.25">
      <c r="A41" t="str">
        <f>IF('Start Here'!$B$8="Paste Import",'Paste Import'!A41,'Manual Input'!A41)</f>
        <v/>
      </c>
      <c r="B41" t="str">
        <f>IF('Start Here'!$B$8="Paste Import",'Paste Import'!B41,'Manual Input'!B41)</f>
        <v/>
      </c>
      <c r="C41" t="str">
        <f>IF('Start Here'!$B$8="Paste Import",'Paste Import'!C41,'Manual Input'!C41)</f>
        <v/>
      </c>
      <c r="D41" t="str">
        <f>IF('Start Here'!$B$8="Paste Import",'Paste Import'!D41,'Manual Input'!D41)</f>
        <v/>
      </c>
      <c r="E41" s="9" t="str">
        <f>IF('Start Here'!$B$8="Paste Import",'Paste Import'!E41,'Manual Input'!E41)</f>
        <v/>
      </c>
      <c r="F41" s="9" t="str">
        <f>IF('Start Here'!$B$8="Paste Import",'Paste Import'!F41,'Manual Input'!F41)</f>
        <v/>
      </c>
      <c r="G41" s="9" t="str">
        <f>IF('Start Here'!$B$8="Paste Import",'Paste Import'!G41,'Manual Input'!G41)</f>
        <v/>
      </c>
      <c r="H41" s="9" t="str">
        <f>IF(C41="","",E41-F41)</f>
        <v/>
      </c>
      <c r="I41" s="14" t="str">
        <f>IF(C41="","",IF(F41=0,IF(E41=0,"","New"),H41/ABS(F41)))</f>
        <v/>
      </c>
      <c r="J41" s="9" t="str">
        <f>IF(C41="","",E41-G41)</f>
        <v/>
      </c>
      <c r="K41" s="14" t="str">
        <f>IF(C41="","",IF(G41=0,IF(E41=0,"","New"),J41/ABS(G41)))</f>
        <v/>
      </c>
      <c r="L41" t="str">
        <f>IF('Start Here'!$B$8="Paste Import",'Paste Import'!H41,'Manual Input'!H41)</f>
        <v/>
      </c>
      <c r="M41" t="str">
        <f>IF(C41="","",IF(OR(D41="",L41=""),"Incomplete",IF(OR(AND(ABS(H41)&gt;='Start Here'!$B$10,IFERROR(ABS(I41)&gt;='Start Here'!$B$11,TRUE)),AND(ABS(J41)&gt;='Start Here'!$B$10,IFERROR(ABS(K41)&gt;='Start Here'!$B$11,TRUE))),"Review","OK")))</f>
        <v/>
      </c>
      <c r="N41" s="15"/>
      <c r="O41" s="9">
        <f>IF(M41="Review",ABS(H41)+ABS(J41)+ROW()/1000000,0)</f>
        <v>0</v>
      </c>
    </row>
    <row r="42" spans="1:15" x14ac:dyDescent="0.25">
      <c r="A42" t="str">
        <f>IF('Start Here'!$B$8="Paste Import",'Paste Import'!A42,'Manual Input'!A42)</f>
        <v/>
      </c>
      <c r="B42" t="str">
        <f>IF('Start Here'!$B$8="Paste Import",'Paste Import'!B42,'Manual Input'!B42)</f>
        <v/>
      </c>
      <c r="C42" t="str">
        <f>IF('Start Here'!$B$8="Paste Import",'Paste Import'!C42,'Manual Input'!C42)</f>
        <v/>
      </c>
      <c r="D42" t="str">
        <f>IF('Start Here'!$B$8="Paste Import",'Paste Import'!D42,'Manual Input'!D42)</f>
        <v/>
      </c>
      <c r="E42" s="9" t="str">
        <f>IF('Start Here'!$B$8="Paste Import",'Paste Import'!E42,'Manual Input'!E42)</f>
        <v/>
      </c>
      <c r="F42" s="9" t="str">
        <f>IF('Start Here'!$B$8="Paste Import",'Paste Import'!F42,'Manual Input'!F42)</f>
        <v/>
      </c>
      <c r="G42" s="9" t="str">
        <f>IF('Start Here'!$B$8="Paste Import",'Paste Import'!G42,'Manual Input'!G42)</f>
        <v/>
      </c>
      <c r="H42" s="9" t="str">
        <f>IF(C42="","",E42-F42)</f>
        <v/>
      </c>
      <c r="I42" s="14" t="str">
        <f>IF(C42="","",IF(F42=0,IF(E42=0,"","New"),H42/ABS(F42)))</f>
        <v/>
      </c>
      <c r="J42" s="9" t="str">
        <f>IF(C42="","",E42-G42)</f>
        <v/>
      </c>
      <c r="K42" s="14" t="str">
        <f>IF(C42="","",IF(G42=0,IF(E42=0,"","New"),J42/ABS(G42)))</f>
        <v/>
      </c>
      <c r="L42" t="str">
        <f>IF('Start Here'!$B$8="Paste Import",'Paste Import'!H42,'Manual Input'!H42)</f>
        <v/>
      </c>
      <c r="M42" t="str">
        <f>IF(C42="","",IF(OR(D42="",L42=""),"Incomplete",IF(OR(AND(ABS(H42)&gt;='Start Here'!$B$10,IFERROR(ABS(I42)&gt;='Start Here'!$B$11,TRUE)),AND(ABS(J42)&gt;='Start Here'!$B$10,IFERROR(ABS(K42)&gt;='Start Here'!$B$11,TRUE))),"Review","OK")))</f>
        <v/>
      </c>
      <c r="N42" s="15"/>
      <c r="O42" s="9">
        <f>IF(M42="Review",ABS(H42)+ABS(J42)+ROW()/1000000,0)</f>
        <v>0</v>
      </c>
    </row>
    <row r="43" spans="1:15" x14ac:dyDescent="0.25">
      <c r="A43" t="str">
        <f>IF('Start Here'!$B$8="Paste Import",'Paste Import'!A43,'Manual Input'!A43)</f>
        <v/>
      </c>
      <c r="B43" t="str">
        <f>IF('Start Here'!$B$8="Paste Import",'Paste Import'!B43,'Manual Input'!B43)</f>
        <v/>
      </c>
      <c r="C43" t="str">
        <f>IF('Start Here'!$B$8="Paste Import",'Paste Import'!C43,'Manual Input'!C43)</f>
        <v/>
      </c>
      <c r="D43" t="str">
        <f>IF('Start Here'!$B$8="Paste Import",'Paste Import'!D43,'Manual Input'!D43)</f>
        <v/>
      </c>
      <c r="E43" s="9" t="str">
        <f>IF('Start Here'!$B$8="Paste Import",'Paste Import'!E43,'Manual Input'!E43)</f>
        <v/>
      </c>
      <c r="F43" s="9" t="str">
        <f>IF('Start Here'!$B$8="Paste Import",'Paste Import'!F43,'Manual Input'!F43)</f>
        <v/>
      </c>
      <c r="G43" s="9" t="str">
        <f>IF('Start Here'!$B$8="Paste Import",'Paste Import'!G43,'Manual Input'!G43)</f>
        <v/>
      </c>
      <c r="H43" s="9" t="str">
        <f>IF(C43="","",E43-F43)</f>
        <v/>
      </c>
      <c r="I43" s="14" t="str">
        <f>IF(C43="","",IF(F43=0,IF(E43=0,"","New"),H43/ABS(F43)))</f>
        <v/>
      </c>
      <c r="J43" s="9" t="str">
        <f>IF(C43="","",E43-G43)</f>
        <v/>
      </c>
      <c r="K43" s="14" t="str">
        <f>IF(C43="","",IF(G43=0,IF(E43=0,"","New"),J43/ABS(G43)))</f>
        <v/>
      </c>
      <c r="L43" t="str">
        <f>IF('Start Here'!$B$8="Paste Import",'Paste Import'!H43,'Manual Input'!H43)</f>
        <v/>
      </c>
      <c r="M43" t="str">
        <f>IF(C43="","",IF(OR(D43="",L43=""),"Incomplete",IF(OR(AND(ABS(H43)&gt;='Start Here'!$B$10,IFERROR(ABS(I43)&gt;='Start Here'!$B$11,TRUE)),AND(ABS(J43)&gt;='Start Here'!$B$10,IFERROR(ABS(K43)&gt;='Start Here'!$B$11,TRUE))),"Review","OK")))</f>
        <v/>
      </c>
      <c r="N43" s="15"/>
      <c r="O43" s="9">
        <f>IF(M43="Review",ABS(H43)+ABS(J43)+ROW()/1000000,0)</f>
        <v>0</v>
      </c>
    </row>
    <row r="44" spans="1:15" x14ac:dyDescent="0.25">
      <c r="A44" t="str">
        <f>IF('Start Here'!$B$8="Paste Import",'Paste Import'!A44,'Manual Input'!A44)</f>
        <v/>
      </c>
      <c r="B44" t="str">
        <f>IF('Start Here'!$B$8="Paste Import",'Paste Import'!B44,'Manual Input'!B44)</f>
        <v/>
      </c>
      <c r="C44" t="str">
        <f>IF('Start Here'!$B$8="Paste Import",'Paste Import'!C44,'Manual Input'!C44)</f>
        <v/>
      </c>
      <c r="D44" t="str">
        <f>IF('Start Here'!$B$8="Paste Import",'Paste Import'!D44,'Manual Input'!D44)</f>
        <v/>
      </c>
      <c r="E44" s="9" t="str">
        <f>IF('Start Here'!$B$8="Paste Import",'Paste Import'!E44,'Manual Input'!E44)</f>
        <v/>
      </c>
      <c r="F44" s="9" t="str">
        <f>IF('Start Here'!$B$8="Paste Import",'Paste Import'!F44,'Manual Input'!F44)</f>
        <v/>
      </c>
      <c r="G44" s="9" t="str">
        <f>IF('Start Here'!$B$8="Paste Import",'Paste Import'!G44,'Manual Input'!G44)</f>
        <v/>
      </c>
      <c r="H44" s="9" t="str">
        <f>IF(C44="","",E44-F44)</f>
        <v/>
      </c>
      <c r="I44" s="14" t="str">
        <f>IF(C44="","",IF(F44=0,IF(E44=0,"","New"),H44/ABS(F44)))</f>
        <v/>
      </c>
      <c r="J44" s="9" t="str">
        <f>IF(C44="","",E44-G44)</f>
        <v/>
      </c>
      <c r="K44" s="14" t="str">
        <f>IF(C44="","",IF(G44=0,IF(E44=0,"","New"),J44/ABS(G44)))</f>
        <v/>
      </c>
      <c r="L44" t="str">
        <f>IF('Start Here'!$B$8="Paste Import",'Paste Import'!H44,'Manual Input'!H44)</f>
        <v/>
      </c>
      <c r="M44" t="str">
        <f>IF(C44="","",IF(OR(D44="",L44=""),"Incomplete",IF(OR(AND(ABS(H44)&gt;='Start Here'!$B$10,IFERROR(ABS(I44)&gt;='Start Here'!$B$11,TRUE)),AND(ABS(J44)&gt;='Start Here'!$B$10,IFERROR(ABS(K44)&gt;='Start Here'!$B$11,TRUE))),"Review","OK")))</f>
        <v/>
      </c>
      <c r="N44" s="15"/>
      <c r="O44" s="9">
        <f>IF(M44="Review",ABS(H44)+ABS(J44)+ROW()/1000000,0)</f>
        <v>0</v>
      </c>
    </row>
    <row r="45" spans="1:15" x14ac:dyDescent="0.25">
      <c r="A45" t="str">
        <f>IF('Start Here'!$B$8="Paste Import",'Paste Import'!A45,'Manual Input'!A45)</f>
        <v/>
      </c>
      <c r="B45" t="str">
        <f>IF('Start Here'!$B$8="Paste Import",'Paste Import'!B45,'Manual Input'!B45)</f>
        <v/>
      </c>
      <c r="C45" t="str">
        <f>IF('Start Here'!$B$8="Paste Import",'Paste Import'!C45,'Manual Input'!C45)</f>
        <v/>
      </c>
      <c r="D45" t="str">
        <f>IF('Start Here'!$B$8="Paste Import",'Paste Import'!D45,'Manual Input'!D45)</f>
        <v/>
      </c>
      <c r="E45" s="9" t="str">
        <f>IF('Start Here'!$B$8="Paste Import",'Paste Import'!E45,'Manual Input'!E45)</f>
        <v/>
      </c>
      <c r="F45" s="9" t="str">
        <f>IF('Start Here'!$B$8="Paste Import",'Paste Import'!F45,'Manual Input'!F45)</f>
        <v/>
      </c>
      <c r="G45" s="9" t="str">
        <f>IF('Start Here'!$B$8="Paste Import",'Paste Import'!G45,'Manual Input'!G45)</f>
        <v/>
      </c>
      <c r="H45" s="9" t="str">
        <f>IF(C45="","",E45-F45)</f>
        <v/>
      </c>
      <c r="I45" s="14" t="str">
        <f>IF(C45="","",IF(F45=0,IF(E45=0,"","New"),H45/ABS(F45)))</f>
        <v/>
      </c>
      <c r="J45" s="9" t="str">
        <f>IF(C45="","",E45-G45)</f>
        <v/>
      </c>
      <c r="K45" s="14" t="str">
        <f>IF(C45="","",IF(G45=0,IF(E45=0,"","New"),J45/ABS(G45)))</f>
        <v/>
      </c>
      <c r="L45" t="str">
        <f>IF('Start Here'!$B$8="Paste Import",'Paste Import'!H45,'Manual Input'!H45)</f>
        <v/>
      </c>
      <c r="M45" t="str">
        <f>IF(C45="","",IF(OR(D45="",L45=""),"Incomplete",IF(OR(AND(ABS(H45)&gt;='Start Here'!$B$10,IFERROR(ABS(I45)&gt;='Start Here'!$B$11,TRUE)),AND(ABS(J45)&gt;='Start Here'!$B$10,IFERROR(ABS(K45)&gt;='Start Here'!$B$11,TRUE))),"Review","OK")))</f>
        <v/>
      </c>
      <c r="N45" s="15"/>
      <c r="O45" s="9">
        <f>IF(M45="Review",ABS(H45)+ABS(J45)+ROW()/1000000,0)</f>
        <v>0</v>
      </c>
    </row>
    <row r="46" spans="1:15" x14ac:dyDescent="0.25">
      <c r="A46" t="str">
        <f>IF('Start Here'!$B$8="Paste Import",'Paste Import'!A46,'Manual Input'!A46)</f>
        <v/>
      </c>
      <c r="B46" t="str">
        <f>IF('Start Here'!$B$8="Paste Import",'Paste Import'!B46,'Manual Input'!B46)</f>
        <v/>
      </c>
      <c r="C46" t="str">
        <f>IF('Start Here'!$B$8="Paste Import",'Paste Import'!C46,'Manual Input'!C46)</f>
        <v/>
      </c>
      <c r="D46" t="str">
        <f>IF('Start Here'!$B$8="Paste Import",'Paste Import'!D46,'Manual Input'!D46)</f>
        <v/>
      </c>
      <c r="E46" s="9" t="str">
        <f>IF('Start Here'!$B$8="Paste Import",'Paste Import'!E46,'Manual Input'!E46)</f>
        <v/>
      </c>
      <c r="F46" s="9" t="str">
        <f>IF('Start Here'!$B$8="Paste Import",'Paste Import'!F46,'Manual Input'!F46)</f>
        <v/>
      </c>
      <c r="G46" s="9" t="str">
        <f>IF('Start Here'!$B$8="Paste Import",'Paste Import'!G46,'Manual Input'!G46)</f>
        <v/>
      </c>
      <c r="H46" s="9" t="str">
        <f>IF(C46="","",E46-F46)</f>
        <v/>
      </c>
      <c r="I46" s="14" t="str">
        <f>IF(C46="","",IF(F46=0,IF(E46=0,"","New"),H46/ABS(F46)))</f>
        <v/>
      </c>
      <c r="J46" s="9" t="str">
        <f>IF(C46="","",E46-G46)</f>
        <v/>
      </c>
      <c r="K46" s="14" t="str">
        <f>IF(C46="","",IF(G46=0,IF(E46=0,"","New"),J46/ABS(G46)))</f>
        <v/>
      </c>
      <c r="L46" t="str">
        <f>IF('Start Here'!$B$8="Paste Import",'Paste Import'!H46,'Manual Input'!H46)</f>
        <v/>
      </c>
      <c r="M46" t="str">
        <f>IF(C46="","",IF(OR(D46="",L46=""),"Incomplete",IF(OR(AND(ABS(H46)&gt;='Start Here'!$B$10,IFERROR(ABS(I46)&gt;='Start Here'!$B$11,TRUE)),AND(ABS(J46)&gt;='Start Here'!$B$10,IFERROR(ABS(K46)&gt;='Start Here'!$B$11,TRUE))),"Review","OK")))</f>
        <v/>
      </c>
      <c r="N46" s="15"/>
      <c r="O46" s="9">
        <f>IF(M46="Review",ABS(H46)+ABS(J46)+ROW()/1000000,0)</f>
        <v>0</v>
      </c>
    </row>
    <row r="47" spans="1:15" x14ac:dyDescent="0.25">
      <c r="A47" t="str">
        <f>IF('Start Here'!$B$8="Paste Import",'Paste Import'!A47,'Manual Input'!A47)</f>
        <v/>
      </c>
      <c r="B47" t="str">
        <f>IF('Start Here'!$B$8="Paste Import",'Paste Import'!B47,'Manual Input'!B47)</f>
        <v/>
      </c>
      <c r="C47" t="str">
        <f>IF('Start Here'!$B$8="Paste Import",'Paste Import'!C47,'Manual Input'!C47)</f>
        <v/>
      </c>
      <c r="D47" t="str">
        <f>IF('Start Here'!$B$8="Paste Import",'Paste Import'!D47,'Manual Input'!D47)</f>
        <v/>
      </c>
      <c r="E47" s="9" t="str">
        <f>IF('Start Here'!$B$8="Paste Import",'Paste Import'!E47,'Manual Input'!E47)</f>
        <v/>
      </c>
      <c r="F47" s="9" t="str">
        <f>IF('Start Here'!$B$8="Paste Import",'Paste Import'!F47,'Manual Input'!F47)</f>
        <v/>
      </c>
      <c r="G47" s="9" t="str">
        <f>IF('Start Here'!$B$8="Paste Import",'Paste Import'!G47,'Manual Input'!G47)</f>
        <v/>
      </c>
      <c r="H47" s="9" t="str">
        <f>IF(C47="","",E47-F47)</f>
        <v/>
      </c>
      <c r="I47" s="14" t="str">
        <f>IF(C47="","",IF(F47=0,IF(E47=0,"","New"),H47/ABS(F47)))</f>
        <v/>
      </c>
      <c r="J47" s="9" t="str">
        <f>IF(C47="","",E47-G47)</f>
        <v/>
      </c>
      <c r="K47" s="14" t="str">
        <f>IF(C47="","",IF(G47=0,IF(E47=0,"","New"),J47/ABS(G47)))</f>
        <v/>
      </c>
      <c r="L47" t="str">
        <f>IF('Start Here'!$B$8="Paste Import",'Paste Import'!H47,'Manual Input'!H47)</f>
        <v/>
      </c>
      <c r="M47" t="str">
        <f>IF(C47="","",IF(OR(D47="",L47=""),"Incomplete",IF(OR(AND(ABS(H47)&gt;='Start Here'!$B$10,IFERROR(ABS(I47)&gt;='Start Here'!$B$11,TRUE)),AND(ABS(J47)&gt;='Start Here'!$B$10,IFERROR(ABS(K47)&gt;='Start Here'!$B$11,TRUE))),"Review","OK")))</f>
        <v/>
      </c>
      <c r="N47" s="15"/>
      <c r="O47" s="9">
        <f>IF(M47="Review",ABS(H47)+ABS(J47)+ROW()/1000000,0)</f>
        <v>0</v>
      </c>
    </row>
    <row r="48" spans="1:15" x14ac:dyDescent="0.25">
      <c r="A48" t="str">
        <f>IF('Start Here'!$B$8="Paste Import",'Paste Import'!A48,'Manual Input'!A48)</f>
        <v/>
      </c>
      <c r="B48" t="str">
        <f>IF('Start Here'!$B$8="Paste Import",'Paste Import'!B48,'Manual Input'!B48)</f>
        <v/>
      </c>
      <c r="C48" t="str">
        <f>IF('Start Here'!$B$8="Paste Import",'Paste Import'!C48,'Manual Input'!C48)</f>
        <v/>
      </c>
      <c r="D48" t="str">
        <f>IF('Start Here'!$B$8="Paste Import",'Paste Import'!D48,'Manual Input'!D48)</f>
        <v/>
      </c>
      <c r="E48" s="9" t="str">
        <f>IF('Start Here'!$B$8="Paste Import",'Paste Import'!E48,'Manual Input'!E48)</f>
        <v/>
      </c>
      <c r="F48" s="9" t="str">
        <f>IF('Start Here'!$B$8="Paste Import",'Paste Import'!F48,'Manual Input'!F48)</f>
        <v/>
      </c>
      <c r="G48" s="9" t="str">
        <f>IF('Start Here'!$B$8="Paste Import",'Paste Import'!G48,'Manual Input'!G48)</f>
        <v/>
      </c>
      <c r="H48" s="9" t="str">
        <f>IF(C48="","",E48-F48)</f>
        <v/>
      </c>
      <c r="I48" s="14" t="str">
        <f>IF(C48="","",IF(F48=0,IF(E48=0,"","New"),H48/ABS(F48)))</f>
        <v/>
      </c>
      <c r="J48" s="9" t="str">
        <f>IF(C48="","",E48-G48)</f>
        <v/>
      </c>
      <c r="K48" s="14" t="str">
        <f>IF(C48="","",IF(G48=0,IF(E48=0,"","New"),J48/ABS(G48)))</f>
        <v/>
      </c>
      <c r="L48" t="str">
        <f>IF('Start Here'!$B$8="Paste Import",'Paste Import'!H48,'Manual Input'!H48)</f>
        <v/>
      </c>
      <c r="M48" t="str">
        <f>IF(C48="","",IF(OR(D48="",L48=""),"Incomplete",IF(OR(AND(ABS(H48)&gt;='Start Here'!$B$10,IFERROR(ABS(I48)&gt;='Start Here'!$B$11,TRUE)),AND(ABS(J48)&gt;='Start Here'!$B$10,IFERROR(ABS(K48)&gt;='Start Here'!$B$11,TRUE))),"Review","OK")))</f>
        <v/>
      </c>
      <c r="N48" s="15"/>
      <c r="O48" s="9">
        <f>IF(M48="Review",ABS(H48)+ABS(J48)+ROW()/1000000,0)</f>
        <v>0</v>
      </c>
    </row>
    <row r="49" spans="1:15" x14ac:dyDescent="0.25">
      <c r="A49" t="str">
        <f>IF('Start Here'!$B$8="Paste Import",'Paste Import'!A49,'Manual Input'!A49)</f>
        <v/>
      </c>
      <c r="B49" t="str">
        <f>IF('Start Here'!$B$8="Paste Import",'Paste Import'!B49,'Manual Input'!B49)</f>
        <v/>
      </c>
      <c r="C49" t="str">
        <f>IF('Start Here'!$B$8="Paste Import",'Paste Import'!C49,'Manual Input'!C49)</f>
        <v/>
      </c>
      <c r="D49" t="str">
        <f>IF('Start Here'!$B$8="Paste Import",'Paste Import'!D49,'Manual Input'!D49)</f>
        <v/>
      </c>
      <c r="E49" s="9" t="str">
        <f>IF('Start Here'!$B$8="Paste Import",'Paste Import'!E49,'Manual Input'!E49)</f>
        <v/>
      </c>
      <c r="F49" s="9" t="str">
        <f>IF('Start Here'!$B$8="Paste Import",'Paste Import'!F49,'Manual Input'!F49)</f>
        <v/>
      </c>
      <c r="G49" s="9" t="str">
        <f>IF('Start Here'!$B$8="Paste Import",'Paste Import'!G49,'Manual Input'!G49)</f>
        <v/>
      </c>
      <c r="H49" s="9" t="str">
        <f>IF(C49="","",E49-F49)</f>
        <v/>
      </c>
      <c r="I49" s="14" t="str">
        <f>IF(C49="","",IF(F49=0,IF(E49=0,"","New"),H49/ABS(F49)))</f>
        <v/>
      </c>
      <c r="J49" s="9" t="str">
        <f>IF(C49="","",E49-G49)</f>
        <v/>
      </c>
      <c r="K49" s="14" t="str">
        <f>IF(C49="","",IF(G49=0,IF(E49=0,"","New"),J49/ABS(G49)))</f>
        <v/>
      </c>
      <c r="L49" t="str">
        <f>IF('Start Here'!$B$8="Paste Import",'Paste Import'!H49,'Manual Input'!H49)</f>
        <v/>
      </c>
      <c r="M49" t="str">
        <f>IF(C49="","",IF(OR(D49="",L49=""),"Incomplete",IF(OR(AND(ABS(H49)&gt;='Start Here'!$B$10,IFERROR(ABS(I49)&gt;='Start Here'!$B$11,TRUE)),AND(ABS(J49)&gt;='Start Here'!$B$10,IFERROR(ABS(K49)&gt;='Start Here'!$B$11,TRUE))),"Review","OK")))</f>
        <v/>
      </c>
      <c r="N49" s="15"/>
      <c r="O49" s="9">
        <f>IF(M49="Review",ABS(H49)+ABS(J49)+ROW()/1000000,0)</f>
        <v>0</v>
      </c>
    </row>
    <row r="50" spans="1:15" x14ac:dyDescent="0.25">
      <c r="A50" t="str">
        <f>IF('Start Here'!$B$8="Paste Import",'Paste Import'!A50,'Manual Input'!A50)</f>
        <v/>
      </c>
      <c r="B50" t="str">
        <f>IF('Start Here'!$B$8="Paste Import",'Paste Import'!B50,'Manual Input'!B50)</f>
        <v/>
      </c>
      <c r="C50" t="str">
        <f>IF('Start Here'!$B$8="Paste Import",'Paste Import'!C50,'Manual Input'!C50)</f>
        <v/>
      </c>
      <c r="D50" t="str">
        <f>IF('Start Here'!$B$8="Paste Import",'Paste Import'!D50,'Manual Input'!D50)</f>
        <v/>
      </c>
      <c r="E50" s="9" t="str">
        <f>IF('Start Here'!$B$8="Paste Import",'Paste Import'!E50,'Manual Input'!E50)</f>
        <v/>
      </c>
      <c r="F50" s="9" t="str">
        <f>IF('Start Here'!$B$8="Paste Import",'Paste Import'!F50,'Manual Input'!F50)</f>
        <v/>
      </c>
      <c r="G50" s="9" t="str">
        <f>IF('Start Here'!$B$8="Paste Import",'Paste Import'!G50,'Manual Input'!G50)</f>
        <v/>
      </c>
      <c r="H50" s="9" t="str">
        <f>IF(C50="","",E50-F50)</f>
        <v/>
      </c>
      <c r="I50" s="14" t="str">
        <f>IF(C50="","",IF(F50=0,IF(E50=0,"","New"),H50/ABS(F50)))</f>
        <v/>
      </c>
      <c r="J50" s="9" t="str">
        <f>IF(C50="","",E50-G50)</f>
        <v/>
      </c>
      <c r="K50" s="14" t="str">
        <f>IF(C50="","",IF(G50=0,IF(E50=0,"","New"),J50/ABS(G50)))</f>
        <v/>
      </c>
      <c r="L50" t="str">
        <f>IF('Start Here'!$B$8="Paste Import",'Paste Import'!H50,'Manual Input'!H50)</f>
        <v/>
      </c>
      <c r="M50" t="str">
        <f>IF(C50="","",IF(OR(D50="",L50=""),"Incomplete",IF(OR(AND(ABS(H50)&gt;='Start Here'!$B$10,IFERROR(ABS(I50)&gt;='Start Here'!$B$11,TRUE)),AND(ABS(J50)&gt;='Start Here'!$B$10,IFERROR(ABS(K50)&gt;='Start Here'!$B$11,TRUE))),"Review","OK")))</f>
        <v/>
      </c>
      <c r="N50" s="15"/>
      <c r="O50" s="9">
        <f>IF(M50="Review",ABS(H50)+ABS(J50)+ROW()/1000000,0)</f>
        <v>0</v>
      </c>
    </row>
    <row r="51" spans="1:15" x14ac:dyDescent="0.25">
      <c r="A51" t="str">
        <f>IF('Start Here'!$B$8="Paste Import",'Paste Import'!A51,'Manual Input'!A51)</f>
        <v/>
      </c>
      <c r="B51" t="str">
        <f>IF('Start Here'!$B$8="Paste Import",'Paste Import'!B51,'Manual Input'!B51)</f>
        <v/>
      </c>
      <c r="C51" t="str">
        <f>IF('Start Here'!$B$8="Paste Import",'Paste Import'!C51,'Manual Input'!C51)</f>
        <v/>
      </c>
      <c r="D51" t="str">
        <f>IF('Start Here'!$B$8="Paste Import",'Paste Import'!D51,'Manual Input'!D51)</f>
        <v/>
      </c>
      <c r="E51" s="9" t="str">
        <f>IF('Start Here'!$B$8="Paste Import",'Paste Import'!E51,'Manual Input'!E51)</f>
        <v/>
      </c>
      <c r="F51" s="9" t="str">
        <f>IF('Start Here'!$B$8="Paste Import",'Paste Import'!F51,'Manual Input'!F51)</f>
        <v/>
      </c>
      <c r="G51" s="9" t="str">
        <f>IF('Start Here'!$B$8="Paste Import",'Paste Import'!G51,'Manual Input'!G51)</f>
        <v/>
      </c>
      <c r="H51" s="9" t="str">
        <f>IF(C51="","",E51-F51)</f>
        <v/>
      </c>
      <c r="I51" s="14" t="str">
        <f>IF(C51="","",IF(F51=0,IF(E51=0,"","New"),H51/ABS(F51)))</f>
        <v/>
      </c>
      <c r="J51" s="9" t="str">
        <f>IF(C51="","",E51-G51)</f>
        <v/>
      </c>
      <c r="K51" s="14" t="str">
        <f>IF(C51="","",IF(G51=0,IF(E51=0,"","New"),J51/ABS(G51)))</f>
        <v/>
      </c>
      <c r="L51" t="str">
        <f>IF('Start Here'!$B$8="Paste Import",'Paste Import'!H51,'Manual Input'!H51)</f>
        <v/>
      </c>
      <c r="M51" t="str">
        <f>IF(C51="","",IF(OR(D51="",L51=""),"Incomplete",IF(OR(AND(ABS(H51)&gt;='Start Here'!$B$10,IFERROR(ABS(I51)&gt;='Start Here'!$B$11,TRUE)),AND(ABS(J51)&gt;='Start Here'!$B$10,IFERROR(ABS(K51)&gt;='Start Here'!$B$11,TRUE))),"Review","OK")))</f>
        <v/>
      </c>
      <c r="N51" s="15"/>
      <c r="O51" s="9">
        <f>IF(M51="Review",ABS(H51)+ABS(J51)+ROW()/1000000,0)</f>
        <v>0</v>
      </c>
    </row>
    <row r="52" spans="1:15" x14ac:dyDescent="0.25">
      <c r="A52" t="str">
        <f>IF('Start Here'!$B$8="Paste Import",'Paste Import'!A52,'Manual Input'!A52)</f>
        <v/>
      </c>
      <c r="B52" t="str">
        <f>IF('Start Here'!$B$8="Paste Import",'Paste Import'!B52,'Manual Input'!B52)</f>
        <v/>
      </c>
      <c r="C52" t="str">
        <f>IF('Start Here'!$B$8="Paste Import",'Paste Import'!C52,'Manual Input'!C52)</f>
        <v/>
      </c>
      <c r="D52" t="str">
        <f>IF('Start Here'!$B$8="Paste Import",'Paste Import'!D52,'Manual Input'!D52)</f>
        <v/>
      </c>
      <c r="E52" s="9" t="str">
        <f>IF('Start Here'!$B$8="Paste Import",'Paste Import'!E52,'Manual Input'!E52)</f>
        <v/>
      </c>
      <c r="F52" s="9" t="str">
        <f>IF('Start Here'!$B$8="Paste Import",'Paste Import'!F52,'Manual Input'!F52)</f>
        <v/>
      </c>
      <c r="G52" s="9" t="str">
        <f>IF('Start Here'!$B$8="Paste Import",'Paste Import'!G52,'Manual Input'!G52)</f>
        <v/>
      </c>
      <c r="H52" s="9" t="str">
        <f>IF(C52="","",E52-F52)</f>
        <v/>
      </c>
      <c r="I52" s="14" t="str">
        <f>IF(C52="","",IF(F52=0,IF(E52=0,"","New"),H52/ABS(F52)))</f>
        <v/>
      </c>
      <c r="J52" s="9" t="str">
        <f>IF(C52="","",E52-G52)</f>
        <v/>
      </c>
      <c r="K52" s="14" t="str">
        <f>IF(C52="","",IF(G52=0,IF(E52=0,"","New"),J52/ABS(G52)))</f>
        <v/>
      </c>
      <c r="L52" t="str">
        <f>IF('Start Here'!$B$8="Paste Import",'Paste Import'!H52,'Manual Input'!H52)</f>
        <v/>
      </c>
      <c r="M52" t="str">
        <f>IF(C52="","",IF(OR(D52="",L52=""),"Incomplete",IF(OR(AND(ABS(H52)&gt;='Start Here'!$B$10,IFERROR(ABS(I52)&gt;='Start Here'!$B$11,TRUE)),AND(ABS(J52)&gt;='Start Here'!$B$10,IFERROR(ABS(K52)&gt;='Start Here'!$B$11,TRUE))),"Review","OK")))</f>
        <v/>
      </c>
      <c r="N52" s="15"/>
      <c r="O52" s="9">
        <f>IF(M52="Review",ABS(H52)+ABS(J52)+ROW()/1000000,0)</f>
        <v>0</v>
      </c>
    </row>
    <row r="53" spans="1:15" x14ac:dyDescent="0.25">
      <c r="A53" t="str">
        <f>IF('Start Here'!$B$8="Paste Import",'Paste Import'!A53,'Manual Input'!A53)</f>
        <v/>
      </c>
      <c r="B53" t="str">
        <f>IF('Start Here'!$B$8="Paste Import",'Paste Import'!B53,'Manual Input'!B53)</f>
        <v/>
      </c>
      <c r="C53" t="str">
        <f>IF('Start Here'!$B$8="Paste Import",'Paste Import'!C53,'Manual Input'!C53)</f>
        <v/>
      </c>
      <c r="D53" t="str">
        <f>IF('Start Here'!$B$8="Paste Import",'Paste Import'!D53,'Manual Input'!D53)</f>
        <v/>
      </c>
      <c r="E53" s="9" t="str">
        <f>IF('Start Here'!$B$8="Paste Import",'Paste Import'!E53,'Manual Input'!E53)</f>
        <v/>
      </c>
      <c r="F53" s="9" t="str">
        <f>IF('Start Here'!$B$8="Paste Import",'Paste Import'!F53,'Manual Input'!F53)</f>
        <v/>
      </c>
      <c r="G53" s="9" t="str">
        <f>IF('Start Here'!$B$8="Paste Import",'Paste Import'!G53,'Manual Input'!G53)</f>
        <v/>
      </c>
      <c r="H53" s="9" t="str">
        <f>IF(C53="","",E53-F53)</f>
        <v/>
      </c>
      <c r="I53" s="14" t="str">
        <f>IF(C53="","",IF(F53=0,IF(E53=0,"","New"),H53/ABS(F53)))</f>
        <v/>
      </c>
      <c r="J53" s="9" t="str">
        <f>IF(C53="","",E53-G53)</f>
        <v/>
      </c>
      <c r="K53" s="14" t="str">
        <f>IF(C53="","",IF(G53=0,IF(E53=0,"","New"),J53/ABS(G53)))</f>
        <v/>
      </c>
      <c r="L53" t="str">
        <f>IF('Start Here'!$B$8="Paste Import",'Paste Import'!H53,'Manual Input'!H53)</f>
        <v/>
      </c>
      <c r="M53" t="str">
        <f>IF(C53="","",IF(OR(D53="",L53=""),"Incomplete",IF(OR(AND(ABS(H53)&gt;='Start Here'!$B$10,IFERROR(ABS(I53)&gt;='Start Here'!$B$11,TRUE)),AND(ABS(J53)&gt;='Start Here'!$B$10,IFERROR(ABS(K53)&gt;='Start Here'!$B$11,TRUE))),"Review","OK")))</f>
        <v/>
      </c>
      <c r="N53" s="15"/>
      <c r="O53" s="9">
        <f>IF(M53="Review",ABS(H53)+ABS(J53)+ROW()/1000000,0)</f>
        <v>0</v>
      </c>
    </row>
    <row r="54" spans="1:15" x14ac:dyDescent="0.25">
      <c r="A54" t="str">
        <f>IF('Start Here'!$B$8="Paste Import",'Paste Import'!A54,'Manual Input'!A54)</f>
        <v/>
      </c>
      <c r="B54" t="str">
        <f>IF('Start Here'!$B$8="Paste Import",'Paste Import'!B54,'Manual Input'!B54)</f>
        <v/>
      </c>
      <c r="C54" t="str">
        <f>IF('Start Here'!$B$8="Paste Import",'Paste Import'!C54,'Manual Input'!C54)</f>
        <v/>
      </c>
      <c r="D54" t="str">
        <f>IF('Start Here'!$B$8="Paste Import",'Paste Import'!D54,'Manual Input'!D54)</f>
        <v/>
      </c>
      <c r="E54" s="9" t="str">
        <f>IF('Start Here'!$B$8="Paste Import",'Paste Import'!E54,'Manual Input'!E54)</f>
        <v/>
      </c>
      <c r="F54" s="9" t="str">
        <f>IF('Start Here'!$B$8="Paste Import",'Paste Import'!F54,'Manual Input'!F54)</f>
        <v/>
      </c>
      <c r="G54" s="9" t="str">
        <f>IF('Start Here'!$B$8="Paste Import",'Paste Import'!G54,'Manual Input'!G54)</f>
        <v/>
      </c>
      <c r="H54" s="9" t="str">
        <f>IF(C54="","",E54-F54)</f>
        <v/>
      </c>
      <c r="I54" s="14" t="str">
        <f>IF(C54="","",IF(F54=0,IF(E54=0,"","New"),H54/ABS(F54)))</f>
        <v/>
      </c>
      <c r="J54" s="9" t="str">
        <f>IF(C54="","",E54-G54)</f>
        <v/>
      </c>
      <c r="K54" s="14" t="str">
        <f>IF(C54="","",IF(G54=0,IF(E54=0,"","New"),J54/ABS(G54)))</f>
        <v/>
      </c>
      <c r="L54" t="str">
        <f>IF('Start Here'!$B$8="Paste Import",'Paste Import'!H54,'Manual Input'!H54)</f>
        <v/>
      </c>
      <c r="M54" t="str">
        <f>IF(C54="","",IF(OR(D54="",L54=""),"Incomplete",IF(OR(AND(ABS(H54)&gt;='Start Here'!$B$10,IFERROR(ABS(I54)&gt;='Start Here'!$B$11,TRUE)),AND(ABS(J54)&gt;='Start Here'!$B$10,IFERROR(ABS(K54)&gt;='Start Here'!$B$11,TRUE))),"Review","OK")))</f>
        <v/>
      </c>
      <c r="N54" s="15"/>
      <c r="O54" s="9">
        <f>IF(M54="Review",ABS(H54)+ABS(J54)+ROW()/1000000,0)</f>
        <v>0</v>
      </c>
    </row>
    <row r="55" spans="1:15" x14ac:dyDescent="0.25">
      <c r="A55" t="str">
        <f>IF('Start Here'!$B$8="Paste Import",'Paste Import'!A55,'Manual Input'!A55)</f>
        <v/>
      </c>
      <c r="B55" t="str">
        <f>IF('Start Here'!$B$8="Paste Import",'Paste Import'!B55,'Manual Input'!B55)</f>
        <v/>
      </c>
      <c r="C55" t="str">
        <f>IF('Start Here'!$B$8="Paste Import",'Paste Import'!C55,'Manual Input'!C55)</f>
        <v/>
      </c>
      <c r="D55" t="str">
        <f>IF('Start Here'!$B$8="Paste Import",'Paste Import'!D55,'Manual Input'!D55)</f>
        <v/>
      </c>
      <c r="E55" s="9" t="str">
        <f>IF('Start Here'!$B$8="Paste Import",'Paste Import'!E55,'Manual Input'!E55)</f>
        <v/>
      </c>
      <c r="F55" s="9" t="str">
        <f>IF('Start Here'!$B$8="Paste Import",'Paste Import'!F55,'Manual Input'!F55)</f>
        <v/>
      </c>
      <c r="G55" s="9" t="str">
        <f>IF('Start Here'!$B$8="Paste Import",'Paste Import'!G55,'Manual Input'!G55)</f>
        <v/>
      </c>
      <c r="H55" s="9" t="str">
        <f>IF(C55="","",E55-F55)</f>
        <v/>
      </c>
      <c r="I55" s="14" t="str">
        <f>IF(C55="","",IF(F55=0,IF(E55=0,"","New"),H55/ABS(F55)))</f>
        <v/>
      </c>
      <c r="J55" s="9" t="str">
        <f>IF(C55="","",E55-G55)</f>
        <v/>
      </c>
      <c r="K55" s="14" t="str">
        <f>IF(C55="","",IF(G55=0,IF(E55=0,"","New"),J55/ABS(G55)))</f>
        <v/>
      </c>
      <c r="L55" t="str">
        <f>IF('Start Here'!$B$8="Paste Import",'Paste Import'!H55,'Manual Input'!H55)</f>
        <v/>
      </c>
      <c r="M55" t="str">
        <f>IF(C55="","",IF(OR(D55="",L55=""),"Incomplete",IF(OR(AND(ABS(H55)&gt;='Start Here'!$B$10,IFERROR(ABS(I55)&gt;='Start Here'!$B$11,TRUE)),AND(ABS(J55)&gt;='Start Here'!$B$10,IFERROR(ABS(K55)&gt;='Start Here'!$B$11,TRUE))),"Review","OK")))</f>
        <v/>
      </c>
      <c r="N55" s="15"/>
      <c r="O55" s="9">
        <f>IF(M55="Review",ABS(H55)+ABS(J55)+ROW()/1000000,0)</f>
        <v>0</v>
      </c>
    </row>
    <row r="56" spans="1:15" x14ac:dyDescent="0.25">
      <c r="A56" t="str">
        <f>IF('Start Here'!$B$8="Paste Import",'Paste Import'!A56,'Manual Input'!A56)</f>
        <v/>
      </c>
      <c r="B56" t="str">
        <f>IF('Start Here'!$B$8="Paste Import",'Paste Import'!B56,'Manual Input'!B56)</f>
        <v/>
      </c>
      <c r="C56" t="str">
        <f>IF('Start Here'!$B$8="Paste Import",'Paste Import'!C56,'Manual Input'!C56)</f>
        <v/>
      </c>
      <c r="D56" t="str">
        <f>IF('Start Here'!$B$8="Paste Import",'Paste Import'!D56,'Manual Input'!D56)</f>
        <v/>
      </c>
      <c r="E56" s="9" t="str">
        <f>IF('Start Here'!$B$8="Paste Import",'Paste Import'!E56,'Manual Input'!E56)</f>
        <v/>
      </c>
      <c r="F56" s="9" t="str">
        <f>IF('Start Here'!$B$8="Paste Import",'Paste Import'!F56,'Manual Input'!F56)</f>
        <v/>
      </c>
      <c r="G56" s="9" t="str">
        <f>IF('Start Here'!$B$8="Paste Import",'Paste Import'!G56,'Manual Input'!G56)</f>
        <v/>
      </c>
      <c r="H56" s="9" t="str">
        <f>IF(C56="","",E56-F56)</f>
        <v/>
      </c>
      <c r="I56" s="14" t="str">
        <f>IF(C56="","",IF(F56=0,IF(E56=0,"","New"),H56/ABS(F56)))</f>
        <v/>
      </c>
      <c r="J56" s="9" t="str">
        <f>IF(C56="","",E56-G56)</f>
        <v/>
      </c>
      <c r="K56" s="14" t="str">
        <f>IF(C56="","",IF(G56=0,IF(E56=0,"","New"),J56/ABS(G56)))</f>
        <v/>
      </c>
      <c r="L56" t="str">
        <f>IF('Start Here'!$B$8="Paste Import",'Paste Import'!H56,'Manual Input'!H56)</f>
        <v/>
      </c>
      <c r="M56" t="str">
        <f>IF(C56="","",IF(OR(D56="",L56=""),"Incomplete",IF(OR(AND(ABS(H56)&gt;='Start Here'!$B$10,IFERROR(ABS(I56)&gt;='Start Here'!$B$11,TRUE)),AND(ABS(J56)&gt;='Start Here'!$B$10,IFERROR(ABS(K56)&gt;='Start Here'!$B$11,TRUE))),"Review","OK")))</f>
        <v/>
      </c>
      <c r="N56" s="15"/>
      <c r="O56" s="9">
        <f>IF(M56="Review",ABS(H56)+ABS(J56)+ROW()/1000000,0)</f>
        <v>0</v>
      </c>
    </row>
    <row r="57" spans="1:15" x14ac:dyDescent="0.25">
      <c r="A57" t="str">
        <f>IF('Start Here'!$B$8="Paste Import",'Paste Import'!A57,'Manual Input'!A57)</f>
        <v/>
      </c>
      <c r="B57" t="str">
        <f>IF('Start Here'!$B$8="Paste Import",'Paste Import'!B57,'Manual Input'!B57)</f>
        <v/>
      </c>
      <c r="C57" t="str">
        <f>IF('Start Here'!$B$8="Paste Import",'Paste Import'!C57,'Manual Input'!C57)</f>
        <v/>
      </c>
      <c r="D57" t="str">
        <f>IF('Start Here'!$B$8="Paste Import",'Paste Import'!D57,'Manual Input'!D57)</f>
        <v/>
      </c>
      <c r="E57" s="9" t="str">
        <f>IF('Start Here'!$B$8="Paste Import",'Paste Import'!E57,'Manual Input'!E57)</f>
        <v/>
      </c>
      <c r="F57" s="9" t="str">
        <f>IF('Start Here'!$B$8="Paste Import",'Paste Import'!F57,'Manual Input'!F57)</f>
        <v/>
      </c>
      <c r="G57" s="9" t="str">
        <f>IF('Start Here'!$B$8="Paste Import",'Paste Import'!G57,'Manual Input'!G57)</f>
        <v/>
      </c>
      <c r="H57" s="9" t="str">
        <f>IF(C57="","",E57-F57)</f>
        <v/>
      </c>
      <c r="I57" s="14" t="str">
        <f>IF(C57="","",IF(F57=0,IF(E57=0,"","New"),H57/ABS(F57)))</f>
        <v/>
      </c>
      <c r="J57" s="9" t="str">
        <f>IF(C57="","",E57-G57)</f>
        <v/>
      </c>
      <c r="K57" s="14" t="str">
        <f>IF(C57="","",IF(G57=0,IF(E57=0,"","New"),J57/ABS(G57)))</f>
        <v/>
      </c>
      <c r="L57" t="str">
        <f>IF('Start Here'!$B$8="Paste Import",'Paste Import'!H57,'Manual Input'!H57)</f>
        <v/>
      </c>
      <c r="M57" t="str">
        <f>IF(C57="","",IF(OR(D57="",L57=""),"Incomplete",IF(OR(AND(ABS(H57)&gt;='Start Here'!$B$10,IFERROR(ABS(I57)&gt;='Start Here'!$B$11,TRUE)),AND(ABS(J57)&gt;='Start Here'!$B$10,IFERROR(ABS(K57)&gt;='Start Here'!$B$11,TRUE))),"Review","OK")))</f>
        <v/>
      </c>
      <c r="N57" s="15"/>
      <c r="O57" s="9">
        <f>IF(M57="Review",ABS(H57)+ABS(J57)+ROW()/1000000,0)</f>
        <v>0</v>
      </c>
    </row>
    <row r="58" spans="1:15" x14ac:dyDescent="0.25">
      <c r="A58" t="str">
        <f>IF('Start Here'!$B$8="Paste Import",'Paste Import'!A58,'Manual Input'!A58)</f>
        <v/>
      </c>
      <c r="B58" t="str">
        <f>IF('Start Here'!$B$8="Paste Import",'Paste Import'!B58,'Manual Input'!B58)</f>
        <v/>
      </c>
      <c r="C58" t="str">
        <f>IF('Start Here'!$B$8="Paste Import",'Paste Import'!C58,'Manual Input'!C58)</f>
        <v/>
      </c>
      <c r="D58" t="str">
        <f>IF('Start Here'!$B$8="Paste Import",'Paste Import'!D58,'Manual Input'!D58)</f>
        <v/>
      </c>
      <c r="E58" s="9" t="str">
        <f>IF('Start Here'!$B$8="Paste Import",'Paste Import'!E58,'Manual Input'!E58)</f>
        <v/>
      </c>
      <c r="F58" s="9" t="str">
        <f>IF('Start Here'!$B$8="Paste Import",'Paste Import'!F58,'Manual Input'!F58)</f>
        <v/>
      </c>
      <c r="G58" s="9" t="str">
        <f>IF('Start Here'!$B$8="Paste Import",'Paste Import'!G58,'Manual Input'!G58)</f>
        <v/>
      </c>
      <c r="H58" s="9" t="str">
        <f>IF(C58="","",E58-F58)</f>
        <v/>
      </c>
      <c r="I58" s="14" t="str">
        <f>IF(C58="","",IF(F58=0,IF(E58=0,"","New"),H58/ABS(F58)))</f>
        <v/>
      </c>
      <c r="J58" s="9" t="str">
        <f>IF(C58="","",E58-G58)</f>
        <v/>
      </c>
      <c r="K58" s="14" t="str">
        <f>IF(C58="","",IF(G58=0,IF(E58=0,"","New"),J58/ABS(G58)))</f>
        <v/>
      </c>
      <c r="L58" t="str">
        <f>IF('Start Here'!$B$8="Paste Import",'Paste Import'!H58,'Manual Input'!H58)</f>
        <v/>
      </c>
      <c r="M58" t="str">
        <f>IF(C58="","",IF(OR(D58="",L58=""),"Incomplete",IF(OR(AND(ABS(H58)&gt;='Start Here'!$B$10,IFERROR(ABS(I58)&gt;='Start Here'!$B$11,TRUE)),AND(ABS(J58)&gt;='Start Here'!$B$10,IFERROR(ABS(K58)&gt;='Start Here'!$B$11,TRUE))),"Review","OK")))</f>
        <v/>
      </c>
      <c r="N58" s="15"/>
      <c r="O58" s="9">
        <f>IF(M58="Review",ABS(H58)+ABS(J58)+ROW()/1000000,0)</f>
        <v>0</v>
      </c>
    </row>
    <row r="59" spans="1:15" x14ac:dyDescent="0.25">
      <c r="A59" t="str">
        <f>IF('Start Here'!$B$8="Paste Import",'Paste Import'!A59,'Manual Input'!A59)</f>
        <v/>
      </c>
      <c r="B59" t="str">
        <f>IF('Start Here'!$B$8="Paste Import",'Paste Import'!B59,'Manual Input'!B59)</f>
        <v/>
      </c>
      <c r="C59" t="str">
        <f>IF('Start Here'!$B$8="Paste Import",'Paste Import'!C59,'Manual Input'!C59)</f>
        <v/>
      </c>
      <c r="D59" t="str">
        <f>IF('Start Here'!$B$8="Paste Import",'Paste Import'!D59,'Manual Input'!D59)</f>
        <v/>
      </c>
      <c r="E59" s="9" t="str">
        <f>IF('Start Here'!$B$8="Paste Import",'Paste Import'!E59,'Manual Input'!E59)</f>
        <v/>
      </c>
      <c r="F59" s="9" t="str">
        <f>IF('Start Here'!$B$8="Paste Import",'Paste Import'!F59,'Manual Input'!F59)</f>
        <v/>
      </c>
      <c r="G59" s="9" t="str">
        <f>IF('Start Here'!$B$8="Paste Import",'Paste Import'!G59,'Manual Input'!G59)</f>
        <v/>
      </c>
      <c r="H59" s="9" t="str">
        <f>IF(C59="","",E59-F59)</f>
        <v/>
      </c>
      <c r="I59" s="14" t="str">
        <f>IF(C59="","",IF(F59=0,IF(E59=0,"","New"),H59/ABS(F59)))</f>
        <v/>
      </c>
      <c r="J59" s="9" t="str">
        <f>IF(C59="","",E59-G59)</f>
        <v/>
      </c>
      <c r="K59" s="14" t="str">
        <f>IF(C59="","",IF(G59=0,IF(E59=0,"","New"),J59/ABS(G59)))</f>
        <v/>
      </c>
      <c r="L59" t="str">
        <f>IF('Start Here'!$B$8="Paste Import",'Paste Import'!H59,'Manual Input'!H59)</f>
        <v/>
      </c>
      <c r="M59" t="str">
        <f>IF(C59="","",IF(OR(D59="",L59=""),"Incomplete",IF(OR(AND(ABS(H59)&gt;='Start Here'!$B$10,IFERROR(ABS(I59)&gt;='Start Here'!$B$11,TRUE)),AND(ABS(J59)&gt;='Start Here'!$B$10,IFERROR(ABS(K59)&gt;='Start Here'!$B$11,TRUE))),"Review","OK")))</f>
        <v/>
      </c>
      <c r="N59" s="15"/>
      <c r="O59" s="9">
        <f>IF(M59="Review",ABS(H59)+ABS(J59)+ROW()/1000000,0)</f>
        <v>0</v>
      </c>
    </row>
    <row r="60" spans="1:15" x14ac:dyDescent="0.25">
      <c r="A60" t="str">
        <f>IF('Start Here'!$B$8="Paste Import",'Paste Import'!A60,'Manual Input'!A60)</f>
        <v/>
      </c>
      <c r="B60" t="str">
        <f>IF('Start Here'!$B$8="Paste Import",'Paste Import'!B60,'Manual Input'!B60)</f>
        <v/>
      </c>
      <c r="C60" t="str">
        <f>IF('Start Here'!$B$8="Paste Import",'Paste Import'!C60,'Manual Input'!C60)</f>
        <v/>
      </c>
      <c r="D60" t="str">
        <f>IF('Start Here'!$B$8="Paste Import",'Paste Import'!D60,'Manual Input'!D60)</f>
        <v/>
      </c>
      <c r="E60" s="9" t="str">
        <f>IF('Start Here'!$B$8="Paste Import",'Paste Import'!E60,'Manual Input'!E60)</f>
        <v/>
      </c>
      <c r="F60" s="9" t="str">
        <f>IF('Start Here'!$B$8="Paste Import",'Paste Import'!F60,'Manual Input'!F60)</f>
        <v/>
      </c>
      <c r="G60" s="9" t="str">
        <f>IF('Start Here'!$B$8="Paste Import",'Paste Import'!G60,'Manual Input'!G60)</f>
        <v/>
      </c>
      <c r="H60" s="9" t="str">
        <f>IF(C60="","",E60-F60)</f>
        <v/>
      </c>
      <c r="I60" s="14" t="str">
        <f>IF(C60="","",IF(F60=0,IF(E60=0,"","New"),H60/ABS(F60)))</f>
        <v/>
      </c>
      <c r="J60" s="9" t="str">
        <f>IF(C60="","",E60-G60)</f>
        <v/>
      </c>
      <c r="K60" s="14" t="str">
        <f>IF(C60="","",IF(G60=0,IF(E60=0,"","New"),J60/ABS(G60)))</f>
        <v/>
      </c>
      <c r="L60" t="str">
        <f>IF('Start Here'!$B$8="Paste Import",'Paste Import'!H60,'Manual Input'!H60)</f>
        <v/>
      </c>
      <c r="M60" t="str">
        <f>IF(C60="","",IF(OR(D60="",L60=""),"Incomplete",IF(OR(AND(ABS(H60)&gt;='Start Here'!$B$10,IFERROR(ABS(I60)&gt;='Start Here'!$B$11,TRUE)),AND(ABS(J60)&gt;='Start Here'!$B$10,IFERROR(ABS(K60)&gt;='Start Here'!$B$11,TRUE))),"Review","OK")))</f>
        <v/>
      </c>
      <c r="N60" s="15"/>
      <c r="O60" s="9">
        <f>IF(M60="Review",ABS(H60)+ABS(J60)+ROW()/1000000,0)</f>
        <v>0</v>
      </c>
    </row>
    <row r="61" spans="1:15" x14ac:dyDescent="0.25">
      <c r="A61" t="str">
        <f>IF('Start Here'!$B$8="Paste Import",'Paste Import'!A61,'Manual Input'!A61)</f>
        <v/>
      </c>
      <c r="B61" t="str">
        <f>IF('Start Here'!$B$8="Paste Import",'Paste Import'!B61,'Manual Input'!B61)</f>
        <v/>
      </c>
      <c r="C61" t="str">
        <f>IF('Start Here'!$B$8="Paste Import",'Paste Import'!C61,'Manual Input'!C61)</f>
        <v/>
      </c>
      <c r="D61" t="str">
        <f>IF('Start Here'!$B$8="Paste Import",'Paste Import'!D61,'Manual Input'!D61)</f>
        <v/>
      </c>
      <c r="E61" s="9" t="str">
        <f>IF('Start Here'!$B$8="Paste Import",'Paste Import'!E61,'Manual Input'!E61)</f>
        <v/>
      </c>
      <c r="F61" s="9" t="str">
        <f>IF('Start Here'!$B$8="Paste Import",'Paste Import'!F61,'Manual Input'!F61)</f>
        <v/>
      </c>
      <c r="G61" s="9" t="str">
        <f>IF('Start Here'!$B$8="Paste Import",'Paste Import'!G61,'Manual Input'!G61)</f>
        <v/>
      </c>
      <c r="H61" s="9" t="str">
        <f>IF(C61="","",E61-F61)</f>
        <v/>
      </c>
      <c r="I61" s="14" t="str">
        <f>IF(C61="","",IF(F61=0,IF(E61=0,"","New"),H61/ABS(F61)))</f>
        <v/>
      </c>
      <c r="J61" s="9" t="str">
        <f>IF(C61="","",E61-G61)</f>
        <v/>
      </c>
      <c r="K61" s="14" t="str">
        <f>IF(C61="","",IF(G61=0,IF(E61=0,"","New"),J61/ABS(G61)))</f>
        <v/>
      </c>
      <c r="L61" t="str">
        <f>IF('Start Here'!$B$8="Paste Import",'Paste Import'!H61,'Manual Input'!H61)</f>
        <v/>
      </c>
      <c r="M61" t="str">
        <f>IF(C61="","",IF(OR(D61="",L61=""),"Incomplete",IF(OR(AND(ABS(H61)&gt;='Start Here'!$B$10,IFERROR(ABS(I61)&gt;='Start Here'!$B$11,TRUE)),AND(ABS(J61)&gt;='Start Here'!$B$10,IFERROR(ABS(K61)&gt;='Start Here'!$B$11,TRUE))),"Review","OK")))</f>
        <v/>
      </c>
      <c r="N61" s="15"/>
      <c r="O61" s="9">
        <f>IF(M61="Review",ABS(H61)+ABS(J61)+ROW()/1000000,0)</f>
        <v>0</v>
      </c>
    </row>
    <row r="62" spans="1:15" x14ac:dyDescent="0.25">
      <c r="A62" t="str">
        <f>IF('Start Here'!$B$8="Paste Import",'Paste Import'!A62,'Manual Input'!A62)</f>
        <v/>
      </c>
      <c r="B62" t="str">
        <f>IF('Start Here'!$B$8="Paste Import",'Paste Import'!B62,'Manual Input'!B62)</f>
        <v/>
      </c>
      <c r="C62" t="str">
        <f>IF('Start Here'!$B$8="Paste Import",'Paste Import'!C62,'Manual Input'!C62)</f>
        <v/>
      </c>
      <c r="D62" t="str">
        <f>IF('Start Here'!$B$8="Paste Import",'Paste Import'!D62,'Manual Input'!D62)</f>
        <v/>
      </c>
      <c r="E62" s="9" t="str">
        <f>IF('Start Here'!$B$8="Paste Import",'Paste Import'!E62,'Manual Input'!E62)</f>
        <v/>
      </c>
      <c r="F62" s="9" t="str">
        <f>IF('Start Here'!$B$8="Paste Import",'Paste Import'!F62,'Manual Input'!F62)</f>
        <v/>
      </c>
      <c r="G62" s="9" t="str">
        <f>IF('Start Here'!$B$8="Paste Import",'Paste Import'!G62,'Manual Input'!G62)</f>
        <v/>
      </c>
      <c r="H62" s="9" t="str">
        <f>IF(C62="","",E62-F62)</f>
        <v/>
      </c>
      <c r="I62" s="14" t="str">
        <f>IF(C62="","",IF(F62=0,IF(E62=0,"","New"),H62/ABS(F62)))</f>
        <v/>
      </c>
      <c r="J62" s="9" t="str">
        <f>IF(C62="","",E62-G62)</f>
        <v/>
      </c>
      <c r="K62" s="14" t="str">
        <f>IF(C62="","",IF(G62=0,IF(E62=0,"","New"),J62/ABS(G62)))</f>
        <v/>
      </c>
      <c r="L62" t="str">
        <f>IF('Start Here'!$B$8="Paste Import",'Paste Import'!H62,'Manual Input'!H62)</f>
        <v/>
      </c>
      <c r="M62" t="str">
        <f>IF(C62="","",IF(OR(D62="",L62=""),"Incomplete",IF(OR(AND(ABS(H62)&gt;='Start Here'!$B$10,IFERROR(ABS(I62)&gt;='Start Here'!$B$11,TRUE)),AND(ABS(J62)&gt;='Start Here'!$B$10,IFERROR(ABS(K62)&gt;='Start Here'!$B$11,TRUE))),"Review","OK")))</f>
        <v/>
      </c>
      <c r="N62" s="15"/>
      <c r="O62" s="9">
        <f>IF(M62="Review",ABS(H62)+ABS(J62)+ROW()/1000000,0)</f>
        <v>0</v>
      </c>
    </row>
    <row r="63" spans="1:15" x14ac:dyDescent="0.25">
      <c r="A63" t="str">
        <f>IF('Start Here'!$B$8="Paste Import",'Paste Import'!A63,'Manual Input'!A63)</f>
        <v/>
      </c>
      <c r="B63" t="str">
        <f>IF('Start Here'!$B$8="Paste Import",'Paste Import'!B63,'Manual Input'!B63)</f>
        <v/>
      </c>
      <c r="C63" t="str">
        <f>IF('Start Here'!$B$8="Paste Import",'Paste Import'!C63,'Manual Input'!C63)</f>
        <v/>
      </c>
      <c r="D63" t="str">
        <f>IF('Start Here'!$B$8="Paste Import",'Paste Import'!D63,'Manual Input'!D63)</f>
        <v/>
      </c>
      <c r="E63" s="9" t="str">
        <f>IF('Start Here'!$B$8="Paste Import",'Paste Import'!E63,'Manual Input'!E63)</f>
        <v/>
      </c>
      <c r="F63" s="9" t="str">
        <f>IF('Start Here'!$B$8="Paste Import",'Paste Import'!F63,'Manual Input'!F63)</f>
        <v/>
      </c>
      <c r="G63" s="9" t="str">
        <f>IF('Start Here'!$B$8="Paste Import",'Paste Import'!G63,'Manual Input'!G63)</f>
        <v/>
      </c>
      <c r="H63" s="9" t="str">
        <f>IF(C63="","",E63-F63)</f>
        <v/>
      </c>
      <c r="I63" s="14" t="str">
        <f>IF(C63="","",IF(F63=0,IF(E63=0,"","New"),H63/ABS(F63)))</f>
        <v/>
      </c>
      <c r="J63" s="9" t="str">
        <f>IF(C63="","",E63-G63)</f>
        <v/>
      </c>
      <c r="K63" s="14" t="str">
        <f>IF(C63="","",IF(G63=0,IF(E63=0,"","New"),J63/ABS(G63)))</f>
        <v/>
      </c>
      <c r="L63" t="str">
        <f>IF('Start Here'!$B$8="Paste Import",'Paste Import'!H63,'Manual Input'!H63)</f>
        <v/>
      </c>
      <c r="M63" t="str">
        <f>IF(C63="","",IF(OR(D63="",L63=""),"Incomplete",IF(OR(AND(ABS(H63)&gt;='Start Here'!$B$10,IFERROR(ABS(I63)&gt;='Start Here'!$B$11,TRUE)),AND(ABS(J63)&gt;='Start Here'!$B$10,IFERROR(ABS(K63)&gt;='Start Here'!$B$11,TRUE))),"Review","OK")))</f>
        <v/>
      </c>
      <c r="N63" s="15"/>
      <c r="O63" s="9">
        <f>IF(M63="Review",ABS(H63)+ABS(J63)+ROW()/1000000,0)</f>
        <v>0</v>
      </c>
    </row>
    <row r="64" spans="1:15" x14ac:dyDescent="0.25">
      <c r="A64" t="str">
        <f>IF('Start Here'!$B$8="Paste Import",'Paste Import'!A64,'Manual Input'!A64)</f>
        <v/>
      </c>
      <c r="B64" t="str">
        <f>IF('Start Here'!$B$8="Paste Import",'Paste Import'!B64,'Manual Input'!B64)</f>
        <v/>
      </c>
      <c r="C64" t="str">
        <f>IF('Start Here'!$B$8="Paste Import",'Paste Import'!C64,'Manual Input'!C64)</f>
        <v/>
      </c>
      <c r="D64" t="str">
        <f>IF('Start Here'!$B$8="Paste Import",'Paste Import'!D64,'Manual Input'!D64)</f>
        <v/>
      </c>
      <c r="E64" s="9" t="str">
        <f>IF('Start Here'!$B$8="Paste Import",'Paste Import'!E64,'Manual Input'!E64)</f>
        <v/>
      </c>
      <c r="F64" s="9" t="str">
        <f>IF('Start Here'!$B$8="Paste Import",'Paste Import'!F64,'Manual Input'!F64)</f>
        <v/>
      </c>
      <c r="G64" s="9" t="str">
        <f>IF('Start Here'!$B$8="Paste Import",'Paste Import'!G64,'Manual Input'!G64)</f>
        <v/>
      </c>
      <c r="H64" s="9" t="str">
        <f>IF(C64="","",E64-F64)</f>
        <v/>
      </c>
      <c r="I64" s="14" t="str">
        <f>IF(C64="","",IF(F64=0,IF(E64=0,"","New"),H64/ABS(F64)))</f>
        <v/>
      </c>
      <c r="J64" s="9" t="str">
        <f>IF(C64="","",E64-G64)</f>
        <v/>
      </c>
      <c r="K64" s="14" t="str">
        <f>IF(C64="","",IF(G64=0,IF(E64=0,"","New"),J64/ABS(G64)))</f>
        <v/>
      </c>
      <c r="L64" t="str">
        <f>IF('Start Here'!$B$8="Paste Import",'Paste Import'!H64,'Manual Input'!H64)</f>
        <v/>
      </c>
      <c r="M64" t="str">
        <f>IF(C64="","",IF(OR(D64="",L64=""),"Incomplete",IF(OR(AND(ABS(H64)&gt;='Start Here'!$B$10,IFERROR(ABS(I64)&gt;='Start Here'!$B$11,TRUE)),AND(ABS(J64)&gt;='Start Here'!$B$10,IFERROR(ABS(K64)&gt;='Start Here'!$B$11,TRUE))),"Review","OK")))</f>
        <v/>
      </c>
      <c r="N64" s="15"/>
      <c r="O64" s="9">
        <f>IF(M64="Review",ABS(H64)+ABS(J64)+ROW()/1000000,0)</f>
        <v>0</v>
      </c>
    </row>
    <row r="65" spans="1:15" x14ac:dyDescent="0.25">
      <c r="A65" t="str">
        <f>IF('Start Here'!$B$8="Paste Import",'Paste Import'!A65,'Manual Input'!A65)</f>
        <v/>
      </c>
      <c r="B65" t="str">
        <f>IF('Start Here'!$B$8="Paste Import",'Paste Import'!B65,'Manual Input'!B65)</f>
        <v/>
      </c>
      <c r="C65" t="str">
        <f>IF('Start Here'!$B$8="Paste Import",'Paste Import'!C65,'Manual Input'!C65)</f>
        <v/>
      </c>
      <c r="D65" t="str">
        <f>IF('Start Here'!$B$8="Paste Import",'Paste Import'!D65,'Manual Input'!D65)</f>
        <v/>
      </c>
      <c r="E65" s="9" t="str">
        <f>IF('Start Here'!$B$8="Paste Import",'Paste Import'!E65,'Manual Input'!E65)</f>
        <v/>
      </c>
      <c r="F65" s="9" t="str">
        <f>IF('Start Here'!$B$8="Paste Import",'Paste Import'!F65,'Manual Input'!F65)</f>
        <v/>
      </c>
      <c r="G65" s="9" t="str">
        <f>IF('Start Here'!$B$8="Paste Import",'Paste Import'!G65,'Manual Input'!G65)</f>
        <v/>
      </c>
      <c r="H65" s="9" t="str">
        <f>IF(C65="","",E65-F65)</f>
        <v/>
      </c>
      <c r="I65" s="14" t="str">
        <f>IF(C65="","",IF(F65=0,IF(E65=0,"","New"),H65/ABS(F65)))</f>
        <v/>
      </c>
      <c r="J65" s="9" t="str">
        <f>IF(C65="","",E65-G65)</f>
        <v/>
      </c>
      <c r="K65" s="14" t="str">
        <f>IF(C65="","",IF(G65=0,IF(E65=0,"","New"),J65/ABS(G65)))</f>
        <v/>
      </c>
      <c r="L65" t="str">
        <f>IF('Start Here'!$B$8="Paste Import",'Paste Import'!H65,'Manual Input'!H65)</f>
        <v/>
      </c>
      <c r="M65" t="str">
        <f>IF(C65="","",IF(OR(D65="",L65=""),"Incomplete",IF(OR(AND(ABS(H65)&gt;='Start Here'!$B$10,IFERROR(ABS(I65)&gt;='Start Here'!$B$11,TRUE)),AND(ABS(J65)&gt;='Start Here'!$B$10,IFERROR(ABS(K65)&gt;='Start Here'!$B$11,TRUE))),"Review","OK")))</f>
        <v/>
      </c>
      <c r="N65" s="15"/>
      <c r="O65" s="9">
        <f>IF(M65="Review",ABS(H65)+ABS(J65)+ROW()/1000000,0)</f>
        <v>0</v>
      </c>
    </row>
    <row r="66" spans="1:15" x14ac:dyDescent="0.25">
      <c r="A66" t="str">
        <f>IF('Start Here'!$B$8="Paste Import",'Paste Import'!A66,'Manual Input'!A66)</f>
        <v/>
      </c>
      <c r="B66" t="str">
        <f>IF('Start Here'!$B$8="Paste Import",'Paste Import'!B66,'Manual Input'!B66)</f>
        <v/>
      </c>
      <c r="C66" t="str">
        <f>IF('Start Here'!$B$8="Paste Import",'Paste Import'!C66,'Manual Input'!C66)</f>
        <v/>
      </c>
      <c r="D66" t="str">
        <f>IF('Start Here'!$B$8="Paste Import",'Paste Import'!D66,'Manual Input'!D66)</f>
        <v/>
      </c>
      <c r="E66" s="9" t="str">
        <f>IF('Start Here'!$B$8="Paste Import",'Paste Import'!E66,'Manual Input'!E66)</f>
        <v/>
      </c>
      <c r="F66" s="9" t="str">
        <f>IF('Start Here'!$B$8="Paste Import",'Paste Import'!F66,'Manual Input'!F66)</f>
        <v/>
      </c>
      <c r="G66" s="9" t="str">
        <f>IF('Start Here'!$B$8="Paste Import",'Paste Import'!G66,'Manual Input'!G66)</f>
        <v/>
      </c>
      <c r="H66" s="9" t="str">
        <f>IF(C66="","",E66-F66)</f>
        <v/>
      </c>
      <c r="I66" s="14" t="str">
        <f>IF(C66="","",IF(F66=0,IF(E66=0,"","New"),H66/ABS(F66)))</f>
        <v/>
      </c>
      <c r="J66" s="9" t="str">
        <f>IF(C66="","",E66-G66)</f>
        <v/>
      </c>
      <c r="K66" s="14" t="str">
        <f>IF(C66="","",IF(G66=0,IF(E66=0,"","New"),J66/ABS(G66)))</f>
        <v/>
      </c>
      <c r="L66" t="str">
        <f>IF('Start Here'!$B$8="Paste Import",'Paste Import'!H66,'Manual Input'!H66)</f>
        <v/>
      </c>
      <c r="M66" t="str">
        <f>IF(C66="","",IF(OR(D66="",L66=""),"Incomplete",IF(OR(AND(ABS(H66)&gt;='Start Here'!$B$10,IFERROR(ABS(I66)&gt;='Start Here'!$B$11,TRUE)),AND(ABS(J66)&gt;='Start Here'!$B$10,IFERROR(ABS(K66)&gt;='Start Here'!$B$11,TRUE))),"Review","OK")))</f>
        <v/>
      </c>
      <c r="N66" s="15"/>
      <c r="O66" s="9">
        <f>IF(M66="Review",ABS(H66)+ABS(J66)+ROW()/1000000,0)</f>
        <v>0</v>
      </c>
    </row>
    <row r="67" spans="1:15" x14ac:dyDescent="0.25">
      <c r="A67" t="str">
        <f>IF('Start Here'!$B$8="Paste Import",'Paste Import'!A67,'Manual Input'!A67)</f>
        <v/>
      </c>
      <c r="B67" t="str">
        <f>IF('Start Here'!$B$8="Paste Import",'Paste Import'!B67,'Manual Input'!B67)</f>
        <v/>
      </c>
      <c r="C67" t="str">
        <f>IF('Start Here'!$B$8="Paste Import",'Paste Import'!C67,'Manual Input'!C67)</f>
        <v/>
      </c>
      <c r="D67" t="str">
        <f>IF('Start Here'!$B$8="Paste Import",'Paste Import'!D67,'Manual Input'!D67)</f>
        <v/>
      </c>
      <c r="E67" s="9" t="str">
        <f>IF('Start Here'!$B$8="Paste Import",'Paste Import'!E67,'Manual Input'!E67)</f>
        <v/>
      </c>
      <c r="F67" s="9" t="str">
        <f>IF('Start Here'!$B$8="Paste Import",'Paste Import'!F67,'Manual Input'!F67)</f>
        <v/>
      </c>
      <c r="G67" s="9" t="str">
        <f>IF('Start Here'!$B$8="Paste Import",'Paste Import'!G67,'Manual Input'!G67)</f>
        <v/>
      </c>
      <c r="H67" s="9" t="str">
        <f>IF(C67="","",E67-F67)</f>
        <v/>
      </c>
      <c r="I67" s="14" t="str">
        <f>IF(C67="","",IF(F67=0,IF(E67=0,"","New"),H67/ABS(F67)))</f>
        <v/>
      </c>
      <c r="J67" s="9" t="str">
        <f>IF(C67="","",E67-G67)</f>
        <v/>
      </c>
      <c r="K67" s="14" t="str">
        <f>IF(C67="","",IF(G67=0,IF(E67=0,"","New"),J67/ABS(G67)))</f>
        <v/>
      </c>
      <c r="L67" t="str">
        <f>IF('Start Here'!$B$8="Paste Import",'Paste Import'!H67,'Manual Input'!H67)</f>
        <v/>
      </c>
      <c r="M67" t="str">
        <f>IF(C67="","",IF(OR(D67="",L67=""),"Incomplete",IF(OR(AND(ABS(H67)&gt;='Start Here'!$B$10,IFERROR(ABS(I67)&gt;='Start Here'!$B$11,TRUE)),AND(ABS(J67)&gt;='Start Here'!$B$10,IFERROR(ABS(K67)&gt;='Start Here'!$B$11,TRUE))),"Review","OK")))</f>
        <v/>
      </c>
      <c r="N67" s="15"/>
      <c r="O67" s="9">
        <f>IF(M67="Review",ABS(H67)+ABS(J67)+ROW()/1000000,0)</f>
        <v>0</v>
      </c>
    </row>
    <row r="68" spans="1:15" x14ac:dyDescent="0.25">
      <c r="A68" t="str">
        <f>IF('Start Here'!$B$8="Paste Import",'Paste Import'!A68,'Manual Input'!A68)</f>
        <v/>
      </c>
      <c r="B68" t="str">
        <f>IF('Start Here'!$B$8="Paste Import",'Paste Import'!B68,'Manual Input'!B68)</f>
        <v/>
      </c>
      <c r="C68" t="str">
        <f>IF('Start Here'!$B$8="Paste Import",'Paste Import'!C68,'Manual Input'!C68)</f>
        <v/>
      </c>
      <c r="D68" t="str">
        <f>IF('Start Here'!$B$8="Paste Import",'Paste Import'!D68,'Manual Input'!D68)</f>
        <v/>
      </c>
      <c r="E68" s="9" t="str">
        <f>IF('Start Here'!$B$8="Paste Import",'Paste Import'!E68,'Manual Input'!E68)</f>
        <v/>
      </c>
      <c r="F68" s="9" t="str">
        <f>IF('Start Here'!$B$8="Paste Import",'Paste Import'!F68,'Manual Input'!F68)</f>
        <v/>
      </c>
      <c r="G68" s="9" t="str">
        <f>IF('Start Here'!$B$8="Paste Import",'Paste Import'!G68,'Manual Input'!G68)</f>
        <v/>
      </c>
      <c r="H68" s="9" t="str">
        <f>IF(C68="","",E68-F68)</f>
        <v/>
      </c>
      <c r="I68" s="14" t="str">
        <f>IF(C68="","",IF(F68=0,IF(E68=0,"","New"),H68/ABS(F68)))</f>
        <v/>
      </c>
      <c r="J68" s="9" t="str">
        <f>IF(C68="","",E68-G68)</f>
        <v/>
      </c>
      <c r="K68" s="14" t="str">
        <f>IF(C68="","",IF(G68=0,IF(E68=0,"","New"),J68/ABS(G68)))</f>
        <v/>
      </c>
      <c r="L68" t="str">
        <f>IF('Start Here'!$B$8="Paste Import",'Paste Import'!H68,'Manual Input'!H68)</f>
        <v/>
      </c>
      <c r="M68" t="str">
        <f>IF(C68="","",IF(OR(D68="",L68=""),"Incomplete",IF(OR(AND(ABS(H68)&gt;='Start Here'!$B$10,IFERROR(ABS(I68)&gt;='Start Here'!$B$11,TRUE)),AND(ABS(J68)&gt;='Start Here'!$B$10,IFERROR(ABS(K68)&gt;='Start Here'!$B$11,TRUE))),"Review","OK")))</f>
        <v/>
      </c>
      <c r="N68" s="15"/>
      <c r="O68" s="9">
        <f>IF(M68="Review",ABS(H68)+ABS(J68)+ROW()/1000000,0)</f>
        <v>0</v>
      </c>
    </row>
    <row r="69" spans="1:15" x14ac:dyDescent="0.25">
      <c r="A69" t="str">
        <f>IF('Start Here'!$B$8="Paste Import",'Paste Import'!A69,'Manual Input'!A69)</f>
        <v/>
      </c>
      <c r="B69" t="str">
        <f>IF('Start Here'!$B$8="Paste Import",'Paste Import'!B69,'Manual Input'!B69)</f>
        <v/>
      </c>
      <c r="C69" t="str">
        <f>IF('Start Here'!$B$8="Paste Import",'Paste Import'!C69,'Manual Input'!C69)</f>
        <v/>
      </c>
      <c r="D69" t="str">
        <f>IF('Start Here'!$B$8="Paste Import",'Paste Import'!D69,'Manual Input'!D69)</f>
        <v/>
      </c>
      <c r="E69" s="9" t="str">
        <f>IF('Start Here'!$B$8="Paste Import",'Paste Import'!E69,'Manual Input'!E69)</f>
        <v/>
      </c>
      <c r="F69" s="9" t="str">
        <f>IF('Start Here'!$B$8="Paste Import",'Paste Import'!F69,'Manual Input'!F69)</f>
        <v/>
      </c>
      <c r="G69" s="9" t="str">
        <f>IF('Start Here'!$B$8="Paste Import",'Paste Import'!G69,'Manual Input'!G69)</f>
        <v/>
      </c>
      <c r="H69" s="9" t="str">
        <f>IF(C69="","",E69-F69)</f>
        <v/>
      </c>
      <c r="I69" s="14" t="str">
        <f>IF(C69="","",IF(F69=0,IF(E69=0,"","New"),H69/ABS(F69)))</f>
        <v/>
      </c>
      <c r="J69" s="9" t="str">
        <f>IF(C69="","",E69-G69)</f>
        <v/>
      </c>
      <c r="K69" s="14" t="str">
        <f>IF(C69="","",IF(G69=0,IF(E69=0,"","New"),J69/ABS(G69)))</f>
        <v/>
      </c>
      <c r="L69" t="str">
        <f>IF('Start Here'!$B$8="Paste Import",'Paste Import'!H69,'Manual Input'!H69)</f>
        <v/>
      </c>
      <c r="M69" t="str">
        <f>IF(C69="","",IF(OR(D69="",L69=""),"Incomplete",IF(OR(AND(ABS(H69)&gt;='Start Here'!$B$10,IFERROR(ABS(I69)&gt;='Start Here'!$B$11,TRUE)),AND(ABS(J69)&gt;='Start Here'!$B$10,IFERROR(ABS(K69)&gt;='Start Here'!$B$11,TRUE))),"Review","OK")))</f>
        <v/>
      </c>
      <c r="N69" s="15"/>
      <c r="O69" s="9">
        <f>IF(M69="Review",ABS(H69)+ABS(J69)+ROW()/1000000,0)</f>
        <v>0</v>
      </c>
    </row>
    <row r="70" spans="1:15" x14ac:dyDescent="0.25">
      <c r="A70" t="str">
        <f>IF('Start Here'!$B$8="Paste Import",'Paste Import'!A70,'Manual Input'!A70)</f>
        <v/>
      </c>
      <c r="B70" t="str">
        <f>IF('Start Here'!$B$8="Paste Import",'Paste Import'!B70,'Manual Input'!B70)</f>
        <v/>
      </c>
      <c r="C70" t="str">
        <f>IF('Start Here'!$B$8="Paste Import",'Paste Import'!C70,'Manual Input'!C70)</f>
        <v/>
      </c>
      <c r="D70" t="str">
        <f>IF('Start Here'!$B$8="Paste Import",'Paste Import'!D70,'Manual Input'!D70)</f>
        <v/>
      </c>
      <c r="E70" s="9" t="str">
        <f>IF('Start Here'!$B$8="Paste Import",'Paste Import'!E70,'Manual Input'!E70)</f>
        <v/>
      </c>
      <c r="F70" s="9" t="str">
        <f>IF('Start Here'!$B$8="Paste Import",'Paste Import'!F70,'Manual Input'!F70)</f>
        <v/>
      </c>
      <c r="G70" s="9" t="str">
        <f>IF('Start Here'!$B$8="Paste Import",'Paste Import'!G70,'Manual Input'!G70)</f>
        <v/>
      </c>
      <c r="H70" s="9" t="str">
        <f>IF(C70="","",E70-F70)</f>
        <v/>
      </c>
      <c r="I70" s="14" t="str">
        <f>IF(C70="","",IF(F70=0,IF(E70=0,"","New"),H70/ABS(F70)))</f>
        <v/>
      </c>
      <c r="J70" s="9" t="str">
        <f>IF(C70="","",E70-G70)</f>
        <v/>
      </c>
      <c r="K70" s="14" t="str">
        <f>IF(C70="","",IF(G70=0,IF(E70=0,"","New"),J70/ABS(G70)))</f>
        <v/>
      </c>
      <c r="L70" t="str">
        <f>IF('Start Here'!$B$8="Paste Import",'Paste Import'!H70,'Manual Input'!H70)</f>
        <v/>
      </c>
      <c r="M70" t="str">
        <f>IF(C70="","",IF(OR(D70="",L70=""),"Incomplete",IF(OR(AND(ABS(H70)&gt;='Start Here'!$B$10,IFERROR(ABS(I70)&gt;='Start Here'!$B$11,TRUE)),AND(ABS(J70)&gt;='Start Here'!$B$10,IFERROR(ABS(K70)&gt;='Start Here'!$B$11,TRUE))),"Review","OK")))</f>
        <v/>
      </c>
      <c r="N70" s="15"/>
      <c r="O70" s="9">
        <f>IF(M70="Review",ABS(H70)+ABS(J70)+ROW()/1000000,0)</f>
        <v>0</v>
      </c>
    </row>
    <row r="71" spans="1:15" x14ac:dyDescent="0.25">
      <c r="A71" t="str">
        <f>IF('Start Here'!$B$8="Paste Import",'Paste Import'!A71,'Manual Input'!A71)</f>
        <v/>
      </c>
      <c r="B71" t="str">
        <f>IF('Start Here'!$B$8="Paste Import",'Paste Import'!B71,'Manual Input'!B71)</f>
        <v/>
      </c>
      <c r="C71" t="str">
        <f>IF('Start Here'!$B$8="Paste Import",'Paste Import'!C71,'Manual Input'!C71)</f>
        <v/>
      </c>
      <c r="D71" t="str">
        <f>IF('Start Here'!$B$8="Paste Import",'Paste Import'!D71,'Manual Input'!D71)</f>
        <v/>
      </c>
      <c r="E71" s="9" t="str">
        <f>IF('Start Here'!$B$8="Paste Import",'Paste Import'!E71,'Manual Input'!E71)</f>
        <v/>
      </c>
      <c r="F71" s="9" t="str">
        <f>IF('Start Here'!$B$8="Paste Import",'Paste Import'!F71,'Manual Input'!F71)</f>
        <v/>
      </c>
      <c r="G71" s="9" t="str">
        <f>IF('Start Here'!$B$8="Paste Import",'Paste Import'!G71,'Manual Input'!G71)</f>
        <v/>
      </c>
      <c r="H71" s="9" t="str">
        <f>IF(C71="","",E71-F71)</f>
        <v/>
      </c>
      <c r="I71" s="14" t="str">
        <f>IF(C71="","",IF(F71=0,IF(E71=0,"","New"),H71/ABS(F71)))</f>
        <v/>
      </c>
      <c r="J71" s="9" t="str">
        <f>IF(C71="","",E71-G71)</f>
        <v/>
      </c>
      <c r="K71" s="14" t="str">
        <f>IF(C71="","",IF(G71=0,IF(E71=0,"","New"),J71/ABS(G71)))</f>
        <v/>
      </c>
      <c r="L71" t="str">
        <f>IF('Start Here'!$B$8="Paste Import",'Paste Import'!H71,'Manual Input'!H71)</f>
        <v/>
      </c>
      <c r="M71" t="str">
        <f>IF(C71="","",IF(OR(D71="",L71=""),"Incomplete",IF(OR(AND(ABS(H71)&gt;='Start Here'!$B$10,IFERROR(ABS(I71)&gt;='Start Here'!$B$11,TRUE)),AND(ABS(J71)&gt;='Start Here'!$B$10,IFERROR(ABS(K71)&gt;='Start Here'!$B$11,TRUE))),"Review","OK")))</f>
        <v/>
      </c>
      <c r="N71" s="15"/>
      <c r="O71" s="9">
        <f>IF(M71="Review",ABS(H71)+ABS(J71)+ROW()/1000000,0)</f>
        <v>0</v>
      </c>
    </row>
    <row r="72" spans="1:15" x14ac:dyDescent="0.25">
      <c r="A72" t="str">
        <f>IF('Start Here'!$B$8="Paste Import",'Paste Import'!A72,'Manual Input'!A72)</f>
        <v/>
      </c>
      <c r="B72" t="str">
        <f>IF('Start Here'!$B$8="Paste Import",'Paste Import'!B72,'Manual Input'!B72)</f>
        <v/>
      </c>
      <c r="C72" t="str">
        <f>IF('Start Here'!$B$8="Paste Import",'Paste Import'!C72,'Manual Input'!C72)</f>
        <v/>
      </c>
      <c r="D72" t="str">
        <f>IF('Start Here'!$B$8="Paste Import",'Paste Import'!D72,'Manual Input'!D72)</f>
        <v/>
      </c>
      <c r="E72" s="9" t="str">
        <f>IF('Start Here'!$B$8="Paste Import",'Paste Import'!E72,'Manual Input'!E72)</f>
        <v/>
      </c>
      <c r="F72" s="9" t="str">
        <f>IF('Start Here'!$B$8="Paste Import",'Paste Import'!F72,'Manual Input'!F72)</f>
        <v/>
      </c>
      <c r="G72" s="9" t="str">
        <f>IF('Start Here'!$B$8="Paste Import",'Paste Import'!G72,'Manual Input'!G72)</f>
        <v/>
      </c>
      <c r="H72" s="9" t="str">
        <f>IF(C72="","",E72-F72)</f>
        <v/>
      </c>
      <c r="I72" s="14" t="str">
        <f>IF(C72="","",IF(F72=0,IF(E72=0,"","New"),H72/ABS(F72)))</f>
        <v/>
      </c>
      <c r="J72" s="9" t="str">
        <f>IF(C72="","",E72-G72)</f>
        <v/>
      </c>
      <c r="K72" s="14" t="str">
        <f>IF(C72="","",IF(G72=0,IF(E72=0,"","New"),J72/ABS(G72)))</f>
        <v/>
      </c>
      <c r="L72" t="str">
        <f>IF('Start Here'!$B$8="Paste Import",'Paste Import'!H72,'Manual Input'!H72)</f>
        <v/>
      </c>
      <c r="M72" t="str">
        <f>IF(C72="","",IF(OR(D72="",L72=""),"Incomplete",IF(OR(AND(ABS(H72)&gt;='Start Here'!$B$10,IFERROR(ABS(I72)&gt;='Start Here'!$B$11,TRUE)),AND(ABS(J72)&gt;='Start Here'!$B$10,IFERROR(ABS(K72)&gt;='Start Here'!$B$11,TRUE))),"Review","OK")))</f>
        <v/>
      </c>
      <c r="N72" s="15"/>
      <c r="O72" s="9">
        <f>IF(M72="Review",ABS(H72)+ABS(J72)+ROW()/1000000,0)</f>
        <v>0</v>
      </c>
    </row>
    <row r="73" spans="1:15" x14ac:dyDescent="0.25">
      <c r="A73" t="str">
        <f>IF('Start Here'!$B$8="Paste Import",'Paste Import'!A73,'Manual Input'!A73)</f>
        <v/>
      </c>
      <c r="B73" t="str">
        <f>IF('Start Here'!$B$8="Paste Import",'Paste Import'!B73,'Manual Input'!B73)</f>
        <v/>
      </c>
      <c r="C73" t="str">
        <f>IF('Start Here'!$B$8="Paste Import",'Paste Import'!C73,'Manual Input'!C73)</f>
        <v/>
      </c>
      <c r="D73" t="str">
        <f>IF('Start Here'!$B$8="Paste Import",'Paste Import'!D73,'Manual Input'!D73)</f>
        <v/>
      </c>
      <c r="E73" s="9" t="str">
        <f>IF('Start Here'!$B$8="Paste Import",'Paste Import'!E73,'Manual Input'!E73)</f>
        <v/>
      </c>
      <c r="F73" s="9" t="str">
        <f>IF('Start Here'!$B$8="Paste Import",'Paste Import'!F73,'Manual Input'!F73)</f>
        <v/>
      </c>
      <c r="G73" s="9" t="str">
        <f>IF('Start Here'!$B$8="Paste Import",'Paste Import'!G73,'Manual Input'!G73)</f>
        <v/>
      </c>
      <c r="H73" s="9" t="str">
        <f>IF(C73="","",E73-F73)</f>
        <v/>
      </c>
      <c r="I73" s="14" t="str">
        <f>IF(C73="","",IF(F73=0,IF(E73=0,"","New"),H73/ABS(F73)))</f>
        <v/>
      </c>
      <c r="J73" s="9" t="str">
        <f>IF(C73="","",E73-G73)</f>
        <v/>
      </c>
      <c r="K73" s="14" t="str">
        <f>IF(C73="","",IF(G73=0,IF(E73=0,"","New"),J73/ABS(G73)))</f>
        <v/>
      </c>
      <c r="L73" t="str">
        <f>IF('Start Here'!$B$8="Paste Import",'Paste Import'!H73,'Manual Input'!H73)</f>
        <v/>
      </c>
      <c r="M73" t="str">
        <f>IF(C73="","",IF(OR(D73="",L73=""),"Incomplete",IF(OR(AND(ABS(H73)&gt;='Start Here'!$B$10,IFERROR(ABS(I73)&gt;='Start Here'!$B$11,TRUE)),AND(ABS(J73)&gt;='Start Here'!$B$10,IFERROR(ABS(K73)&gt;='Start Here'!$B$11,TRUE))),"Review","OK")))</f>
        <v/>
      </c>
      <c r="N73" s="15"/>
      <c r="O73" s="9">
        <f>IF(M73="Review",ABS(H73)+ABS(J73)+ROW()/1000000,0)</f>
        <v>0</v>
      </c>
    </row>
    <row r="74" spans="1:15" x14ac:dyDescent="0.25">
      <c r="A74" t="str">
        <f>IF('Start Here'!$B$8="Paste Import",'Paste Import'!A74,'Manual Input'!A74)</f>
        <v/>
      </c>
      <c r="B74" t="str">
        <f>IF('Start Here'!$B$8="Paste Import",'Paste Import'!B74,'Manual Input'!B74)</f>
        <v/>
      </c>
      <c r="C74" t="str">
        <f>IF('Start Here'!$B$8="Paste Import",'Paste Import'!C74,'Manual Input'!C74)</f>
        <v/>
      </c>
      <c r="D74" t="str">
        <f>IF('Start Here'!$B$8="Paste Import",'Paste Import'!D74,'Manual Input'!D74)</f>
        <v/>
      </c>
      <c r="E74" s="9" t="str">
        <f>IF('Start Here'!$B$8="Paste Import",'Paste Import'!E74,'Manual Input'!E74)</f>
        <v/>
      </c>
      <c r="F74" s="9" t="str">
        <f>IF('Start Here'!$B$8="Paste Import",'Paste Import'!F74,'Manual Input'!F74)</f>
        <v/>
      </c>
      <c r="G74" s="9" t="str">
        <f>IF('Start Here'!$B$8="Paste Import",'Paste Import'!G74,'Manual Input'!G74)</f>
        <v/>
      </c>
      <c r="H74" s="9" t="str">
        <f>IF(C74="","",E74-F74)</f>
        <v/>
      </c>
      <c r="I74" s="14" t="str">
        <f>IF(C74="","",IF(F74=0,IF(E74=0,"","New"),H74/ABS(F74)))</f>
        <v/>
      </c>
      <c r="J74" s="9" t="str">
        <f>IF(C74="","",E74-G74)</f>
        <v/>
      </c>
      <c r="K74" s="14" t="str">
        <f>IF(C74="","",IF(G74=0,IF(E74=0,"","New"),J74/ABS(G74)))</f>
        <v/>
      </c>
      <c r="L74" t="str">
        <f>IF('Start Here'!$B$8="Paste Import",'Paste Import'!H74,'Manual Input'!H74)</f>
        <v/>
      </c>
      <c r="M74" t="str">
        <f>IF(C74="","",IF(OR(D74="",L74=""),"Incomplete",IF(OR(AND(ABS(H74)&gt;='Start Here'!$B$10,IFERROR(ABS(I74)&gt;='Start Here'!$B$11,TRUE)),AND(ABS(J74)&gt;='Start Here'!$B$10,IFERROR(ABS(K74)&gt;='Start Here'!$B$11,TRUE))),"Review","OK")))</f>
        <v/>
      </c>
      <c r="N74" s="15"/>
      <c r="O74" s="9">
        <f>IF(M74="Review",ABS(H74)+ABS(J74)+ROW()/1000000,0)</f>
        <v>0</v>
      </c>
    </row>
    <row r="75" spans="1:15" x14ac:dyDescent="0.25">
      <c r="A75" t="str">
        <f>IF('Start Here'!$B$8="Paste Import",'Paste Import'!A75,'Manual Input'!A75)</f>
        <v/>
      </c>
      <c r="B75" t="str">
        <f>IF('Start Here'!$B$8="Paste Import",'Paste Import'!B75,'Manual Input'!B75)</f>
        <v/>
      </c>
      <c r="C75" t="str">
        <f>IF('Start Here'!$B$8="Paste Import",'Paste Import'!C75,'Manual Input'!C75)</f>
        <v/>
      </c>
      <c r="D75" t="str">
        <f>IF('Start Here'!$B$8="Paste Import",'Paste Import'!D75,'Manual Input'!D75)</f>
        <v/>
      </c>
      <c r="E75" s="9" t="str">
        <f>IF('Start Here'!$B$8="Paste Import",'Paste Import'!E75,'Manual Input'!E75)</f>
        <v/>
      </c>
      <c r="F75" s="9" t="str">
        <f>IF('Start Here'!$B$8="Paste Import",'Paste Import'!F75,'Manual Input'!F75)</f>
        <v/>
      </c>
      <c r="G75" s="9" t="str">
        <f>IF('Start Here'!$B$8="Paste Import",'Paste Import'!G75,'Manual Input'!G75)</f>
        <v/>
      </c>
      <c r="H75" s="9" t="str">
        <f>IF(C75="","",E75-F75)</f>
        <v/>
      </c>
      <c r="I75" s="14" t="str">
        <f>IF(C75="","",IF(F75=0,IF(E75=0,"","New"),H75/ABS(F75)))</f>
        <v/>
      </c>
      <c r="J75" s="9" t="str">
        <f>IF(C75="","",E75-G75)</f>
        <v/>
      </c>
      <c r="K75" s="14" t="str">
        <f>IF(C75="","",IF(G75=0,IF(E75=0,"","New"),J75/ABS(G75)))</f>
        <v/>
      </c>
      <c r="L75" t="str">
        <f>IF('Start Here'!$B$8="Paste Import",'Paste Import'!H75,'Manual Input'!H75)</f>
        <v/>
      </c>
      <c r="M75" t="str">
        <f>IF(C75="","",IF(OR(D75="",L75=""),"Incomplete",IF(OR(AND(ABS(H75)&gt;='Start Here'!$B$10,IFERROR(ABS(I75)&gt;='Start Here'!$B$11,TRUE)),AND(ABS(J75)&gt;='Start Here'!$B$10,IFERROR(ABS(K75)&gt;='Start Here'!$B$11,TRUE))),"Review","OK")))</f>
        <v/>
      </c>
      <c r="N75" s="15"/>
      <c r="O75" s="9">
        <f>IF(M75="Review",ABS(H75)+ABS(J75)+ROW()/1000000,0)</f>
        <v>0</v>
      </c>
    </row>
    <row r="76" spans="1:15" x14ac:dyDescent="0.25">
      <c r="A76" t="str">
        <f>IF('Start Here'!$B$8="Paste Import",'Paste Import'!A76,'Manual Input'!A76)</f>
        <v/>
      </c>
      <c r="B76" t="str">
        <f>IF('Start Here'!$B$8="Paste Import",'Paste Import'!B76,'Manual Input'!B76)</f>
        <v/>
      </c>
      <c r="C76" t="str">
        <f>IF('Start Here'!$B$8="Paste Import",'Paste Import'!C76,'Manual Input'!C76)</f>
        <v/>
      </c>
      <c r="D76" t="str">
        <f>IF('Start Here'!$B$8="Paste Import",'Paste Import'!D76,'Manual Input'!D76)</f>
        <v/>
      </c>
      <c r="E76" s="9" t="str">
        <f>IF('Start Here'!$B$8="Paste Import",'Paste Import'!E76,'Manual Input'!E76)</f>
        <v/>
      </c>
      <c r="F76" s="9" t="str">
        <f>IF('Start Here'!$B$8="Paste Import",'Paste Import'!F76,'Manual Input'!F76)</f>
        <v/>
      </c>
      <c r="G76" s="9" t="str">
        <f>IF('Start Here'!$B$8="Paste Import",'Paste Import'!G76,'Manual Input'!G76)</f>
        <v/>
      </c>
      <c r="H76" s="9" t="str">
        <f>IF(C76="","",E76-F76)</f>
        <v/>
      </c>
      <c r="I76" s="14" t="str">
        <f>IF(C76="","",IF(F76=0,IF(E76=0,"","New"),H76/ABS(F76)))</f>
        <v/>
      </c>
      <c r="J76" s="9" t="str">
        <f>IF(C76="","",E76-G76)</f>
        <v/>
      </c>
      <c r="K76" s="14" t="str">
        <f>IF(C76="","",IF(G76=0,IF(E76=0,"","New"),J76/ABS(G76)))</f>
        <v/>
      </c>
      <c r="L76" t="str">
        <f>IF('Start Here'!$B$8="Paste Import",'Paste Import'!H76,'Manual Input'!H76)</f>
        <v/>
      </c>
      <c r="M76" t="str">
        <f>IF(C76="","",IF(OR(D76="",L76=""),"Incomplete",IF(OR(AND(ABS(H76)&gt;='Start Here'!$B$10,IFERROR(ABS(I76)&gt;='Start Here'!$B$11,TRUE)),AND(ABS(J76)&gt;='Start Here'!$B$10,IFERROR(ABS(K76)&gt;='Start Here'!$B$11,TRUE))),"Review","OK")))</f>
        <v/>
      </c>
      <c r="N76" s="15"/>
      <c r="O76" s="9">
        <f>IF(M76="Review",ABS(H76)+ABS(J76)+ROW()/1000000,0)</f>
        <v>0</v>
      </c>
    </row>
    <row r="77" spans="1:15" x14ac:dyDescent="0.25">
      <c r="A77" t="str">
        <f>IF('Start Here'!$B$8="Paste Import",'Paste Import'!A77,'Manual Input'!A77)</f>
        <v/>
      </c>
      <c r="B77" t="str">
        <f>IF('Start Here'!$B$8="Paste Import",'Paste Import'!B77,'Manual Input'!B77)</f>
        <v/>
      </c>
      <c r="C77" t="str">
        <f>IF('Start Here'!$B$8="Paste Import",'Paste Import'!C77,'Manual Input'!C77)</f>
        <v/>
      </c>
      <c r="D77" t="str">
        <f>IF('Start Here'!$B$8="Paste Import",'Paste Import'!D77,'Manual Input'!D77)</f>
        <v/>
      </c>
      <c r="E77" s="9" t="str">
        <f>IF('Start Here'!$B$8="Paste Import",'Paste Import'!E77,'Manual Input'!E77)</f>
        <v/>
      </c>
      <c r="F77" s="9" t="str">
        <f>IF('Start Here'!$B$8="Paste Import",'Paste Import'!F77,'Manual Input'!F77)</f>
        <v/>
      </c>
      <c r="G77" s="9" t="str">
        <f>IF('Start Here'!$B$8="Paste Import",'Paste Import'!G77,'Manual Input'!G77)</f>
        <v/>
      </c>
      <c r="H77" s="9" t="str">
        <f>IF(C77="","",E77-F77)</f>
        <v/>
      </c>
      <c r="I77" s="14" t="str">
        <f>IF(C77="","",IF(F77=0,IF(E77=0,"","New"),H77/ABS(F77)))</f>
        <v/>
      </c>
      <c r="J77" s="9" t="str">
        <f>IF(C77="","",E77-G77)</f>
        <v/>
      </c>
      <c r="K77" s="14" t="str">
        <f>IF(C77="","",IF(G77=0,IF(E77=0,"","New"),J77/ABS(G77)))</f>
        <v/>
      </c>
      <c r="L77" t="str">
        <f>IF('Start Here'!$B$8="Paste Import",'Paste Import'!H77,'Manual Input'!H77)</f>
        <v/>
      </c>
      <c r="M77" t="str">
        <f>IF(C77="","",IF(OR(D77="",L77=""),"Incomplete",IF(OR(AND(ABS(H77)&gt;='Start Here'!$B$10,IFERROR(ABS(I77)&gt;='Start Here'!$B$11,TRUE)),AND(ABS(J77)&gt;='Start Here'!$B$10,IFERROR(ABS(K77)&gt;='Start Here'!$B$11,TRUE))),"Review","OK")))</f>
        <v/>
      </c>
      <c r="N77" s="15"/>
      <c r="O77" s="9">
        <f>IF(M77="Review",ABS(H77)+ABS(J77)+ROW()/1000000,0)</f>
        <v>0</v>
      </c>
    </row>
    <row r="78" spans="1:15" x14ac:dyDescent="0.25">
      <c r="A78" t="str">
        <f>IF('Start Here'!$B$8="Paste Import",'Paste Import'!A78,'Manual Input'!A78)</f>
        <v/>
      </c>
      <c r="B78" t="str">
        <f>IF('Start Here'!$B$8="Paste Import",'Paste Import'!B78,'Manual Input'!B78)</f>
        <v/>
      </c>
      <c r="C78" t="str">
        <f>IF('Start Here'!$B$8="Paste Import",'Paste Import'!C78,'Manual Input'!C78)</f>
        <v/>
      </c>
      <c r="D78" t="str">
        <f>IF('Start Here'!$B$8="Paste Import",'Paste Import'!D78,'Manual Input'!D78)</f>
        <v/>
      </c>
      <c r="E78" s="9" t="str">
        <f>IF('Start Here'!$B$8="Paste Import",'Paste Import'!E78,'Manual Input'!E78)</f>
        <v/>
      </c>
      <c r="F78" s="9" t="str">
        <f>IF('Start Here'!$B$8="Paste Import",'Paste Import'!F78,'Manual Input'!F78)</f>
        <v/>
      </c>
      <c r="G78" s="9" t="str">
        <f>IF('Start Here'!$B$8="Paste Import",'Paste Import'!G78,'Manual Input'!G78)</f>
        <v/>
      </c>
      <c r="H78" s="9" t="str">
        <f>IF(C78="","",E78-F78)</f>
        <v/>
      </c>
      <c r="I78" s="14" t="str">
        <f>IF(C78="","",IF(F78=0,IF(E78=0,"","New"),H78/ABS(F78)))</f>
        <v/>
      </c>
      <c r="J78" s="9" t="str">
        <f>IF(C78="","",E78-G78)</f>
        <v/>
      </c>
      <c r="K78" s="14" t="str">
        <f>IF(C78="","",IF(G78=0,IF(E78=0,"","New"),J78/ABS(G78)))</f>
        <v/>
      </c>
      <c r="L78" t="str">
        <f>IF('Start Here'!$B$8="Paste Import",'Paste Import'!H78,'Manual Input'!H78)</f>
        <v/>
      </c>
      <c r="M78" t="str">
        <f>IF(C78="","",IF(OR(D78="",L78=""),"Incomplete",IF(OR(AND(ABS(H78)&gt;='Start Here'!$B$10,IFERROR(ABS(I78)&gt;='Start Here'!$B$11,TRUE)),AND(ABS(J78)&gt;='Start Here'!$B$10,IFERROR(ABS(K78)&gt;='Start Here'!$B$11,TRUE))),"Review","OK")))</f>
        <v/>
      </c>
      <c r="N78" s="15"/>
      <c r="O78" s="9">
        <f>IF(M78="Review",ABS(H78)+ABS(J78)+ROW()/1000000,0)</f>
        <v>0</v>
      </c>
    </row>
    <row r="79" spans="1:15" x14ac:dyDescent="0.25">
      <c r="A79" t="str">
        <f>IF('Start Here'!$B$8="Paste Import",'Paste Import'!A79,'Manual Input'!A79)</f>
        <v/>
      </c>
      <c r="B79" t="str">
        <f>IF('Start Here'!$B$8="Paste Import",'Paste Import'!B79,'Manual Input'!B79)</f>
        <v/>
      </c>
      <c r="C79" t="str">
        <f>IF('Start Here'!$B$8="Paste Import",'Paste Import'!C79,'Manual Input'!C79)</f>
        <v/>
      </c>
      <c r="D79" t="str">
        <f>IF('Start Here'!$B$8="Paste Import",'Paste Import'!D79,'Manual Input'!D79)</f>
        <v/>
      </c>
      <c r="E79" s="9" t="str">
        <f>IF('Start Here'!$B$8="Paste Import",'Paste Import'!E79,'Manual Input'!E79)</f>
        <v/>
      </c>
      <c r="F79" s="9" t="str">
        <f>IF('Start Here'!$B$8="Paste Import",'Paste Import'!F79,'Manual Input'!F79)</f>
        <v/>
      </c>
      <c r="G79" s="9" t="str">
        <f>IF('Start Here'!$B$8="Paste Import",'Paste Import'!G79,'Manual Input'!G79)</f>
        <v/>
      </c>
      <c r="H79" s="9" t="str">
        <f>IF(C79="","",E79-F79)</f>
        <v/>
      </c>
      <c r="I79" s="14" t="str">
        <f>IF(C79="","",IF(F79=0,IF(E79=0,"","New"),H79/ABS(F79)))</f>
        <v/>
      </c>
      <c r="J79" s="9" t="str">
        <f>IF(C79="","",E79-G79)</f>
        <v/>
      </c>
      <c r="K79" s="14" t="str">
        <f>IF(C79="","",IF(G79=0,IF(E79=0,"","New"),J79/ABS(G79)))</f>
        <v/>
      </c>
      <c r="L79" t="str">
        <f>IF('Start Here'!$B$8="Paste Import",'Paste Import'!H79,'Manual Input'!H79)</f>
        <v/>
      </c>
      <c r="M79" t="str">
        <f>IF(C79="","",IF(OR(D79="",L79=""),"Incomplete",IF(OR(AND(ABS(H79)&gt;='Start Here'!$B$10,IFERROR(ABS(I79)&gt;='Start Here'!$B$11,TRUE)),AND(ABS(J79)&gt;='Start Here'!$B$10,IFERROR(ABS(K79)&gt;='Start Here'!$B$11,TRUE))),"Review","OK")))</f>
        <v/>
      </c>
      <c r="N79" s="15"/>
      <c r="O79" s="9">
        <f>IF(M79="Review",ABS(H79)+ABS(J79)+ROW()/1000000,0)</f>
        <v>0</v>
      </c>
    </row>
    <row r="80" spans="1:15" x14ac:dyDescent="0.25">
      <c r="A80" t="str">
        <f>IF('Start Here'!$B$8="Paste Import",'Paste Import'!A80,'Manual Input'!A80)</f>
        <v/>
      </c>
      <c r="B80" t="str">
        <f>IF('Start Here'!$B$8="Paste Import",'Paste Import'!B80,'Manual Input'!B80)</f>
        <v/>
      </c>
      <c r="C80" t="str">
        <f>IF('Start Here'!$B$8="Paste Import",'Paste Import'!C80,'Manual Input'!C80)</f>
        <v/>
      </c>
      <c r="D80" t="str">
        <f>IF('Start Here'!$B$8="Paste Import",'Paste Import'!D80,'Manual Input'!D80)</f>
        <v/>
      </c>
      <c r="E80" s="9" t="str">
        <f>IF('Start Here'!$B$8="Paste Import",'Paste Import'!E80,'Manual Input'!E80)</f>
        <v/>
      </c>
      <c r="F80" s="9" t="str">
        <f>IF('Start Here'!$B$8="Paste Import",'Paste Import'!F80,'Manual Input'!F80)</f>
        <v/>
      </c>
      <c r="G80" s="9" t="str">
        <f>IF('Start Here'!$B$8="Paste Import",'Paste Import'!G80,'Manual Input'!G80)</f>
        <v/>
      </c>
      <c r="H80" s="9" t="str">
        <f>IF(C80="","",E80-F80)</f>
        <v/>
      </c>
      <c r="I80" s="14" t="str">
        <f>IF(C80="","",IF(F80=0,IF(E80=0,"","New"),H80/ABS(F80)))</f>
        <v/>
      </c>
      <c r="J80" s="9" t="str">
        <f>IF(C80="","",E80-G80)</f>
        <v/>
      </c>
      <c r="K80" s="14" t="str">
        <f>IF(C80="","",IF(G80=0,IF(E80=0,"","New"),J80/ABS(G80)))</f>
        <v/>
      </c>
      <c r="L80" t="str">
        <f>IF('Start Here'!$B$8="Paste Import",'Paste Import'!H80,'Manual Input'!H80)</f>
        <v/>
      </c>
      <c r="M80" t="str">
        <f>IF(C80="","",IF(OR(D80="",L80=""),"Incomplete",IF(OR(AND(ABS(H80)&gt;='Start Here'!$B$10,IFERROR(ABS(I80)&gt;='Start Here'!$B$11,TRUE)),AND(ABS(J80)&gt;='Start Here'!$B$10,IFERROR(ABS(K80)&gt;='Start Here'!$B$11,TRUE))),"Review","OK")))</f>
        <v/>
      </c>
      <c r="N80" s="15"/>
      <c r="O80" s="9">
        <f>IF(M80="Review",ABS(H80)+ABS(J80)+ROW()/1000000,0)</f>
        <v>0</v>
      </c>
    </row>
    <row r="81" spans="1:15" x14ac:dyDescent="0.25">
      <c r="A81" t="str">
        <f>IF('Start Here'!$B$8="Paste Import",'Paste Import'!A81,'Manual Input'!A81)</f>
        <v/>
      </c>
      <c r="B81" t="str">
        <f>IF('Start Here'!$B$8="Paste Import",'Paste Import'!B81,'Manual Input'!B81)</f>
        <v/>
      </c>
      <c r="C81" t="str">
        <f>IF('Start Here'!$B$8="Paste Import",'Paste Import'!C81,'Manual Input'!C81)</f>
        <v/>
      </c>
      <c r="D81" t="str">
        <f>IF('Start Here'!$B$8="Paste Import",'Paste Import'!D81,'Manual Input'!D81)</f>
        <v/>
      </c>
      <c r="E81" s="9" t="str">
        <f>IF('Start Here'!$B$8="Paste Import",'Paste Import'!E81,'Manual Input'!E81)</f>
        <v/>
      </c>
      <c r="F81" s="9" t="str">
        <f>IF('Start Here'!$B$8="Paste Import",'Paste Import'!F81,'Manual Input'!F81)</f>
        <v/>
      </c>
      <c r="G81" s="9" t="str">
        <f>IF('Start Here'!$B$8="Paste Import",'Paste Import'!G81,'Manual Input'!G81)</f>
        <v/>
      </c>
      <c r="H81" s="9" t="str">
        <f>IF(C81="","",E81-F81)</f>
        <v/>
      </c>
      <c r="I81" s="14" t="str">
        <f>IF(C81="","",IF(F81=0,IF(E81=0,"","New"),H81/ABS(F81)))</f>
        <v/>
      </c>
      <c r="J81" s="9" t="str">
        <f>IF(C81="","",E81-G81)</f>
        <v/>
      </c>
      <c r="K81" s="14" t="str">
        <f>IF(C81="","",IF(G81=0,IF(E81=0,"","New"),J81/ABS(G81)))</f>
        <v/>
      </c>
      <c r="L81" t="str">
        <f>IF('Start Here'!$B$8="Paste Import",'Paste Import'!H81,'Manual Input'!H81)</f>
        <v/>
      </c>
      <c r="M81" t="str">
        <f>IF(C81="","",IF(OR(D81="",L81=""),"Incomplete",IF(OR(AND(ABS(H81)&gt;='Start Here'!$B$10,IFERROR(ABS(I81)&gt;='Start Here'!$B$11,TRUE)),AND(ABS(J81)&gt;='Start Here'!$B$10,IFERROR(ABS(K81)&gt;='Start Here'!$B$11,TRUE))),"Review","OK")))</f>
        <v/>
      </c>
      <c r="N81" s="15"/>
      <c r="O81" s="9">
        <f>IF(M81="Review",ABS(H81)+ABS(J81)+ROW()/1000000,0)</f>
        <v>0</v>
      </c>
    </row>
    <row r="82" spans="1:15" x14ac:dyDescent="0.25">
      <c r="A82" t="str">
        <f>IF('Start Here'!$B$8="Paste Import",'Paste Import'!A82,'Manual Input'!A82)</f>
        <v/>
      </c>
      <c r="B82" t="str">
        <f>IF('Start Here'!$B$8="Paste Import",'Paste Import'!B82,'Manual Input'!B82)</f>
        <v/>
      </c>
      <c r="C82" t="str">
        <f>IF('Start Here'!$B$8="Paste Import",'Paste Import'!C82,'Manual Input'!C82)</f>
        <v/>
      </c>
      <c r="D82" t="str">
        <f>IF('Start Here'!$B$8="Paste Import",'Paste Import'!D82,'Manual Input'!D82)</f>
        <v/>
      </c>
      <c r="E82" s="9" t="str">
        <f>IF('Start Here'!$B$8="Paste Import",'Paste Import'!E82,'Manual Input'!E82)</f>
        <v/>
      </c>
      <c r="F82" s="9" t="str">
        <f>IF('Start Here'!$B$8="Paste Import",'Paste Import'!F82,'Manual Input'!F82)</f>
        <v/>
      </c>
      <c r="G82" s="9" t="str">
        <f>IF('Start Here'!$B$8="Paste Import",'Paste Import'!G82,'Manual Input'!G82)</f>
        <v/>
      </c>
      <c r="H82" s="9" t="str">
        <f>IF(C82="","",E82-F82)</f>
        <v/>
      </c>
      <c r="I82" s="14" t="str">
        <f>IF(C82="","",IF(F82=0,IF(E82=0,"","New"),H82/ABS(F82)))</f>
        <v/>
      </c>
      <c r="J82" s="9" t="str">
        <f>IF(C82="","",E82-G82)</f>
        <v/>
      </c>
      <c r="K82" s="14" t="str">
        <f>IF(C82="","",IF(G82=0,IF(E82=0,"","New"),J82/ABS(G82)))</f>
        <v/>
      </c>
      <c r="L82" t="str">
        <f>IF('Start Here'!$B$8="Paste Import",'Paste Import'!H82,'Manual Input'!H82)</f>
        <v/>
      </c>
      <c r="M82" t="str">
        <f>IF(C82="","",IF(OR(D82="",L82=""),"Incomplete",IF(OR(AND(ABS(H82)&gt;='Start Here'!$B$10,IFERROR(ABS(I82)&gt;='Start Here'!$B$11,TRUE)),AND(ABS(J82)&gt;='Start Here'!$B$10,IFERROR(ABS(K82)&gt;='Start Here'!$B$11,TRUE))),"Review","OK")))</f>
        <v/>
      </c>
      <c r="N82" s="15"/>
      <c r="O82" s="9">
        <f>IF(M82="Review",ABS(H82)+ABS(J82)+ROW()/1000000,0)</f>
        <v>0</v>
      </c>
    </row>
    <row r="83" spans="1:15" x14ac:dyDescent="0.25">
      <c r="A83" t="str">
        <f>IF('Start Here'!$B$8="Paste Import",'Paste Import'!A83,'Manual Input'!A83)</f>
        <v/>
      </c>
      <c r="B83" t="str">
        <f>IF('Start Here'!$B$8="Paste Import",'Paste Import'!B83,'Manual Input'!B83)</f>
        <v/>
      </c>
      <c r="C83" t="str">
        <f>IF('Start Here'!$B$8="Paste Import",'Paste Import'!C83,'Manual Input'!C83)</f>
        <v/>
      </c>
      <c r="D83" t="str">
        <f>IF('Start Here'!$B$8="Paste Import",'Paste Import'!D83,'Manual Input'!D83)</f>
        <v/>
      </c>
      <c r="E83" s="9" t="str">
        <f>IF('Start Here'!$B$8="Paste Import",'Paste Import'!E83,'Manual Input'!E83)</f>
        <v/>
      </c>
      <c r="F83" s="9" t="str">
        <f>IF('Start Here'!$B$8="Paste Import",'Paste Import'!F83,'Manual Input'!F83)</f>
        <v/>
      </c>
      <c r="G83" s="9" t="str">
        <f>IF('Start Here'!$B$8="Paste Import",'Paste Import'!G83,'Manual Input'!G83)</f>
        <v/>
      </c>
      <c r="H83" s="9" t="str">
        <f>IF(C83="","",E83-F83)</f>
        <v/>
      </c>
      <c r="I83" s="14" t="str">
        <f>IF(C83="","",IF(F83=0,IF(E83=0,"","New"),H83/ABS(F83)))</f>
        <v/>
      </c>
      <c r="J83" s="9" t="str">
        <f>IF(C83="","",E83-G83)</f>
        <v/>
      </c>
      <c r="K83" s="14" t="str">
        <f>IF(C83="","",IF(G83=0,IF(E83=0,"","New"),J83/ABS(G83)))</f>
        <v/>
      </c>
      <c r="L83" t="str">
        <f>IF('Start Here'!$B$8="Paste Import",'Paste Import'!H83,'Manual Input'!H83)</f>
        <v/>
      </c>
      <c r="M83" t="str">
        <f>IF(C83="","",IF(OR(D83="",L83=""),"Incomplete",IF(OR(AND(ABS(H83)&gt;='Start Here'!$B$10,IFERROR(ABS(I83)&gt;='Start Here'!$B$11,TRUE)),AND(ABS(J83)&gt;='Start Here'!$B$10,IFERROR(ABS(K83)&gt;='Start Here'!$B$11,TRUE))),"Review","OK")))</f>
        <v/>
      </c>
      <c r="N83" s="15"/>
      <c r="O83" s="9">
        <f>IF(M83="Review",ABS(H83)+ABS(J83)+ROW()/1000000,0)</f>
        <v>0</v>
      </c>
    </row>
    <row r="84" spans="1:15" x14ac:dyDescent="0.25">
      <c r="A84" t="str">
        <f>IF('Start Here'!$B$8="Paste Import",'Paste Import'!A84,'Manual Input'!A84)</f>
        <v/>
      </c>
      <c r="B84" t="str">
        <f>IF('Start Here'!$B$8="Paste Import",'Paste Import'!B84,'Manual Input'!B84)</f>
        <v/>
      </c>
      <c r="C84" t="str">
        <f>IF('Start Here'!$B$8="Paste Import",'Paste Import'!C84,'Manual Input'!C84)</f>
        <v/>
      </c>
      <c r="D84" t="str">
        <f>IF('Start Here'!$B$8="Paste Import",'Paste Import'!D84,'Manual Input'!D84)</f>
        <v/>
      </c>
      <c r="E84" s="9" t="str">
        <f>IF('Start Here'!$B$8="Paste Import",'Paste Import'!E84,'Manual Input'!E84)</f>
        <v/>
      </c>
      <c r="F84" s="9" t="str">
        <f>IF('Start Here'!$B$8="Paste Import",'Paste Import'!F84,'Manual Input'!F84)</f>
        <v/>
      </c>
      <c r="G84" s="9" t="str">
        <f>IF('Start Here'!$B$8="Paste Import",'Paste Import'!G84,'Manual Input'!G84)</f>
        <v/>
      </c>
      <c r="H84" s="9" t="str">
        <f>IF(C84="","",E84-F84)</f>
        <v/>
      </c>
      <c r="I84" s="14" t="str">
        <f>IF(C84="","",IF(F84=0,IF(E84=0,"","New"),H84/ABS(F84)))</f>
        <v/>
      </c>
      <c r="J84" s="9" t="str">
        <f>IF(C84="","",E84-G84)</f>
        <v/>
      </c>
      <c r="K84" s="14" t="str">
        <f>IF(C84="","",IF(G84=0,IF(E84=0,"","New"),J84/ABS(G84)))</f>
        <v/>
      </c>
      <c r="L84" t="str">
        <f>IF('Start Here'!$B$8="Paste Import",'Paste Import'!H84,'Manual Input'!H84)</f>
        <v/>
      </c>
      <c r="M84" t="str">
        <f>IF(C84="","",IF(OR(D84="",L84=""),"Incomplete",IF(OR(AND(ABS(H84)&gt;='Start Here'!$B$10,IFERROR(ABS(I84)&gt;='Start Here'!$B$11,TRUE)),AND(ABS(J84)&gt;='Start Here'!$B$10,IFERROR(ABS(K84)&gt;='Start Here'!$B$11,TRUE))),"Review","OK")))</f>
        <v/>
      </c>
      <c r="N84" s="15"/>
      <c r="O84" s="9">
        <f>IF(M84="Review",ABS(H84)+ABS(J84)+ROW()/1000000,0)</f>
        <v>0</v>
      </c>
    </row>
    <row r="85" spans="1:15" x14ac:dyDescent="0.25">
      <c r="A85" t="str">
        <f>IF('Start Here'!$B$8="Paste Import",'Paste Import'!A85,'Manual Input'!A85)</f>
        <v/>
      </c>
      <c r="B85" t="str">
        <f>IF('Start Here'!$B$8="Paste Import",'Paste Import'!B85,'Manual Input'!B85)</f>
        <v/>
      </c>
      <c r="C85" t="str">
        <f>IF('Start Here'!$B$8="Paste Import",'Paste Import'!C85,'Manual Input'!C85)</f>
        <v/>
      </c>
      <c r="D85" t="str">
        <f>IF('Start Here'!$B$8="Paste Import",'Paste Import'!D85,'Manual Input'!D85)</f>
        <v/>
      </c>
      <c r="E85" s="9" t="str">
        <f>IF('Start Here'!$B$8="Paste Import",'Paste Import'!E85,'Manual Input'!E85)</f>
        <v/>
      </c>
      <c r="F85" s="9" t="str">
        <f>IF('Start Here'!$B$8="Paste Import",'Paste Import'!F85,'Manual Input'!F85)</f>
        <v/>
      </c>
      <c r="G85" s="9" t="str">
        <f>IF('Start Here'!$B$8="Paste Import",'Paste Import'!G85,'Manual Input'!G85)</f>
        <v/>
      </c>
      <c r="H85" s="9" t="str">
        <f>IF(C85="","",E85-F85)</f>
        <v/>
      </c>
      <c r="I85" s="14" t="str">
        <f>IF(C85="","",IF(F85=0,IF(E85=0,"","New"),H85/ABS(F85)))</f>
        <v/>
      </c>
      <c r="J85" s="9" t="str">
        <f>IF(C85="","",E85-G85)</f>
        <v/>
      </c>
      <c r="K85" s="14" t="str">
        <f>IF(C85="","",IF(G85=0,IF(E85=0,"","New"),J85/ABS(G85)))</f>
        <v/>
      </c>
      <c r="L85" t="str">
        <f>IF('Start Here'!$B$8="Paste Import",'Paste Import'!H85,'Manual Input'!H85)</f>
        <v/>
      </c>
      <c r="M85" t="str">
        <f>IF(C85="","",IF(OR(D85="",L85=""),"Incomplete",IF(OR(AND(ABS(H85)&gt;='Start Here'!$B$10,IFERROR(ABS(I85)&gt;='Start Here'!$B$11,TRUE)),AND(ABS(J85)&gt;='Start Here'!$B$10,IFERROR(ABS(K85)&gt;='Start Here'!$B$11,TRUE))),"Review","OK")))</f>
        <v/>
      </c>
      <c r="N85" s="15"/>
      <c r="O85" s="9">
        <f>IF(M85="Review",ABS(H85)+ABS(J85)+ROW()/1000000,0)</f>
        <v>0</v>
      </c>
    </row>
    <row r="86" spans="1:15" x14ac:dyDescent="0.25">
      <c r="A86" t="str">
        <f>IF('Start Here'!$B$8="Paste Import",'Paste Import'!A86,'Manual Input'!A86)</f>
        <v/>
      </c>
      <c r="B86" t="str">
        <f>IF('Start Here'!$B$8="Paste Import",'Paste Import'!B86,'Manual Input'!B86)</f>
        <v/>
      </c>
      <c r="C86" t="str">
        <f>IF('Start Here'!$B$8="Paste Import",'Paste Import'!C86,'Manual Input'!C86)</f>
        <v/>
      </c>
      <c r="D86" t="str">
        <f>IF('Start Here'!$B$8="Paste Import",'Paste Import'!D86,'Manual Input'!D86)</f>
        <v/>
      </c>
      <c r="E86" s="9" t="str">
        <f>IF('Start Here'!$B$8="Paste Import",'Paste Import'!E86,'Manual Input'!E86)</f>
        <v/>
      </c>
      <c r="F86" s="9" t="str">
        <f>IF('Start Here'!$B$8="Paste Import",'Paste Import'!F86,'Manual Input'!F86)</f>
        <v/>
      </c>
      <c r="G86" s="9" t="str">
        <f>IF('Start Here'!$B$8="Paste Import",'Paste Import'!G86,'Manual Input'!G86)</f>
        <v/>
      </c>
      <c r="H86" s="9" t="str">
        <f>IF(C86="","",E86-F86)</f>
        <v/>
      </c>
      <c r="I86" s="14" t="str">
        <f>IF(C86="","",IF(F86=0,IF(E86=0,"","New"),H86/ABS(F86)))</f>
        <v/>
      </c>
      <c r="J86" s="9" t="str">
        <f>IF(C86="","",E86-G86)</f>
        <v/>
      </c>
      <c r="K86" s="14" t="str">
        <f>IF(C86="","",IF(G86=0,IF(E86=0,"","New"),J86/ABS(G86)))</f>
        <v/>
      </c>
      <c r="L86" t="str">
        <f>IF('Start Here'!$B$8="Paste Import",'Paste Import'!H86,'Manual Input'!H86)</f>
        <v/>
      </c>
      <c r="M86" t="str">
        <f>IF(C86="","",IF(OR(D86="",L86=""),"Incomplete",IF(OR(AND(ABS(H86)&gt;='Start Here'!$B$10,IFERROR(ABS(I86)&gt;='Start Here'!$B$11,TRUE)),AND(ABS(J86)&gt;='Start Here'!$B$10,IFERROR(ABS(K86)&gt;='Start Here'!$B$11,TRUE))),"Review","OK")))</f>
        <v/>
      </c>
      <c r="N86" s="15"/>
      <c r="O86" s="9">
        <f>IF(M86="Review",ABS(H86)+ABS(J86)+ROW()/1000000,0)</f>
        <v>0</v>
      </c>
    </row>
    <row r="87" spans="1:15" x14ac:dyDescent="0.25">
      <c r="A87" t="str">
        <f>IF('Start Here'!$B$8="Paste Import",'Paste Import'!A87,'Manual Input'!A87)</f>
        <v/>
      </c>
      <c r="B87" t="str">
        <f>IF('Start Here'!$B$8="Paste Import",'Paste Import'!B87,'Manual Input'!B87)</f>
        <v/>
      </c>
      <c r="C87" t="str">
        <f>IF('Start Here'!$B$8="Paste Import",'Paste Import'!C87,'Manual Input'!C87)</f>
        <v/>
      </c>
      <c r="D87" t="str">
        <f>IF('Start Here'!$B$8="Paste Import",'Paste Import'!D87,'Manual Input'!D87)</f>
        <v/>
      </c>
      <c r="E87" s="9" t="str">
        <f>IF('Start Here'!$B$8="Paste Import",'Paste Import'!E87,'Manual Input'!E87)</f>
        <v/>
      </c>
      <c r="F87" s="9" t="str">
        <f>IF('Start Here'!$B$8="Paste Import",'Paste Import'!F87,'Manual Input'!F87)</f>
        <v/>
      </c>
      <c r="G87" s="9" t="str">
        <f>IF('Start Here'!$B$8="Paste Import",'Paste Import'!G87,'Manual Input'!G87)</f>
        <v/>
      </c>
      <c r="H87" s="9" t="str">
        <f>IF(C87="","",E87-F87)</f>
        <v/>
      </c>
      <c r="I87" s="14" t="str">
        <f>IF(C87="","",IF(F87=0,IF(E87=0,"","New"),H87/ABS(F87)))</f>
        <v/>
      </c>
      <c r="J87" s="9" t="str">
        <f>IF(C87="","",E87-G87)</f>
        <v/>
      </c>
      <c r="K87" s="14" t="str">
        <f>IF(C87="","",IF(G87=0,IF(E87=0,"","New"),J87/ABS(G87)))</f>
        <v/>
      </c>
      <c r="L87" t="str">
        <f>IF('Start Here'!$B$8="Paste Import",'Paste Import'!H87,'Manual Input'!H87)</f>
        <v/>
      </c>
      <c r="M87" t="str">
        <f>IF(C87="","",IF(OR(D87="",L87=""),"Incomplete",IF(OR(AND(ABS(H87)&gt;='Start Here'!$B$10,IFERROR(ABS(I87)&gt;='Start Here'!$B$11,TRUE)),AND(ABS(J87)&gt;='Start Here'!$B$10,IFERROR(ABS(K87)&gt;='Start Here'!$B$11,TRUE))),"Review","OK")))</f>
        <v/>
      </c>
      <c r="N87" s="15"/>
      <c r="O87" s="9">
        <f>IF(M87="Review",ABS(H87)+ABS(J87)+ROW()/1000000,0)</f>
        <v>0</v>
      </c>
    </row>
    <row r="88" spans="1:15" x14ac:dyDescent="0.25">
      <c r="A88" t="str">
        <f>IF('Start Here'!$B$8="Paste Import",'Paste Import'!A88,'Manual Input'!A88)</f>
        <v/>
      </c>
      <c r="B88" t="str">
        <f>IF('Start Here'!$B$8="Paste Import",'Paste Import'!B88,'Manual Input'!B88)</f>
        <v/>
      </c>
      <c r="C88" t="str">
        <f>IF('Start Here'!$B$8="Paste Import",'Paste Import'!C88,'Manual Input'!C88)</f>
        <v/>
      </c>
      <c r="D88" t="str">
        <f>IF('Start Here'!$B$8="Paste Import",'Paste Import'!D88,'Manual Input'!D88)</f>
        <v/>
      </c>
      <c r="E88" s="9" t="str">
        <f>IF('Start Here'!$B$8="Paste Import",'Paste Import'!E88,'Manual Input'!E88)</f>
        <v/>
      </c>
      <c r="F88" s="9" t="str">
        <f>IF('Start Here'!$B$8="Paste Import",'Paste Import'!F88,'Manual Input'!F88)</f>
        <v/>
      </c>
      <c r="G88" s="9" t="str">
        <f>IF('Start Here'!$B$8="Paste Import",'Paste Import'!G88,'Manual Input'!G88)</f>
        <v/>
      </c>
      <c r="H88" s="9" t="str">
        <f>IF(C88="","",E88-F88)</f>
        <v/>
      </c>
      <c r="I88" s="14" t="str">
        <f>IF(C88="","",IF(F88=0,IF(E88=0,"","New"),H88/ABS(F88)))</f>
        <v/>
      </c>
      <c r="J88" s="9" t="str">
        <f>IF(C88="","",E88-G88)</f>
        <v/>
      </c>
      <c r="K88" s="14" t="str">
        <f>IF(C88="","",IF(G88=0,IF(E88=0,"","New"),J88/ABS(G88)))</f>
        <v/>
      </c>
      <c r="L88" t="str">
        <f>IF('Start Here'!$B$8="Paste Import",'Paste Import'!H88,'Manual Input'!H88)</f>
        <v/>
      </c>
      <c r="M88" t="str">
        <f>IF(C88="","",IF(OR(D88="",L88=""),"Incomplete",IF(OR(AND(ABS(H88)&gt;='Start Here'!$B$10,IFERROR(ABS(I88)&gt;='Start Here'!$B$11,TRUE)),AND(ABS(J88)&gt;='Start Here'!$B$10,IFERROR(ABS(K88)&gt;='Start Here'!$B$11,TRUE))),"Review","OK")))</f>
        <v/>
      </c>
      <c r="N88" s="15"/>
      <c r="O88" s="9">
        <f>IF(M88="Review",ABS(H88)+ABS(J88)+ROW()/1000000,0)</f>
        <v>0</v>
      </c>
    </row>
    <row r="89" spans="1:15" x14ac:dyDescent="0.25">
      <c r="A89" t="str">
        <f>IF('Start Here'!$B$8="Paste Import",'Paste Import'!A89,'Manual Input'!A89)</f>
        <v/>
      </c>
      <c r="B89" t="str">
        <f>IF('Start Here'!$B$8="Paste Import",'Paste Import'!B89,'Manual Input'!B89)</f>
        <v/>
      </c>
      <c r="C89" t="str">
        <f>IF('Start Here'!$B$8="Paste Import",'Paste Import'!C89,'Manual Input'!C89)</f>
        <v/>
      </c>
      <c r="D89" t="str">
        <f>IF('Start Here'!$B$8="Paste Import",'Paste Import'!D89,'Manual Input'!D89)</f>
        <v/>
      </c>
      <c r="E89" s="9" t="str">
        <f>IF('Start Here'!$B$8="Paste Import",'Paste Import'!E89,'Manual Input'!E89)</f>
        <v/>
      </c>
      <c r="F89" s="9" t="str">
        <f>IF('Start Here'!$B$8="Paste Import",'Paste Import'!F89,'Manual Input'!F89)</f>
        <v/>
      </c>
      <c r="G89" s="9" t="str">
        <f>IF('Start Here'!$B$8="Paste Import",'Paste Import'!G89,'Manual Input'!G89)</f>
        <v/>
      </c>
      <c r="H89" s="9" t="str">
        <f>IF(C89="","",E89-F89)</f>
        <v/>
      </c>
      <c r="I89" s="14" t="str">
        <f>IF(C89="","",IF(F89=0,IF(E89=0,"","New"),H89/ABS(F89)))</f>
        <v/>
      </c>
      <c r="J89" s="9" t="str">
        <f>IF(C89="","",E89-G89)</f>
        <v/>
      </c>
      <c r="K89" s="14" t="str">
        <f>IF(C89="","",IF(G89=0,IF(E89=0,"","New"),J89/ABS(G89)))</f>
        <v/>
      </c>
      <c r="L89" t="str">
        <f>IF('Start Here'!$B$8="Paste Import",'Paste Import'!H89,'Manual Input'!H89)</f>
        <v/>
      </c>
      <c r="M89" t="str">
        <f>IF(C89="","",IF(OR(D89="",L89=""),"Incomplete",IF(OR(AND(ABS(H89)&gt;='Start Here'!$B$10,IFERROR(ABS(I89)&gt;='Start Here'!$B$11,TRUE)),AND(ABS(J89)&gt;='Start Here'!$B$10,IFERROR(ABS(K89)&gt;='Start Here'!$B$11,TRUE))),"Review","OK")))</f>
        <v/>
      </c>
      <c r="N89" s="15"/>
      <c r="O89" s="9">
        <f>IF(M89="Review",ABS(H89)+ABS(J89)+ROW()/1000000,0)</f>
        <v>0</v>
      </c>
    </row>
    <row r="90" spans="1:15" x14ac:dyDescent="0.25">
      <c r="A90" t="str">
        <f>IF('Start Here'!$B$8="Paste Import",'Paste Import'!A90,'Manual Input'!A90)</f>
        <v/>
      </c>
      <c r="B90" t="str">
        <f>IF('Start Here'!$B$8="Paste Import",'Paste Import'!B90,'Manual Input'!B90)</f>
        <v/>
      </c>
      <c r="C90" t="str">
        <f>IF('Start Here'!$B$8="Paste Import",'Paste Import'!C90,'Manual Input'!C90)</f>
        <v/>
      </c>
      <c r="D90" t="str">
        <f>IF('Start Here'!$B$8="Paste Import",'Paste Import'!D90,'Manual Input'!D90)</f>
        <v/>
      </c>
      <c r="E90" s="9" t="str">
        <f>IF('Start Here'!$B$8="Paste Import",'Paste Import'!E90,'Manual Input'!E90)</f>
        <v/>
      </c>
      <c r="F90" s="9" t="str">
        <f>IF('Start Here'!$B$8="Paste Import",'Paste Import'!F90,'Manual Input'!F90)</f>
        <v/>
      </c>
      <c r="G90" s="9" t="str">
        <f>IF('Start Here'!$B$8="Paste Import",'Paste Import'!G90,'Manual Input'!G90)</f>
        <v/>
      </c>
      <c r="H90" s="9" t="str">
        <f>IF(C90="","",E90-F90)</f>
        <v/>
      </c>
      <c r="I90" s="14" t="str">
        <f>IF(C90="","",IF(F90=0,IF(E90=0,"","New"),H90/ABS(F90)))</f>
        <v/>
      </c>
      <c r="J90" s="9" t="str">
        <f>IF(C90="","",E90-G90)</f>
        <v/>
      </c>
      <c r="K90" s="14" t="str">
        <f>IF(C90="","",IF(G90=0,IF(E90=0,"","New"),J90/ABS(G90)))</f>
        <v/>
      </c>
      <c r="L90" t="str">
        <f>IF('Start Here'!$B$8="Paste Import",'Paste Import'!H90,'Manual Input'!H90)</f>
        <v/>
      </c>
      <c r="M90" t="str">
        <f>IF(C90="","",IF(OR(D90="",L90=""),"Incomplete",IF(OR(AND(ABS(H90)&gt;='Start Here'!$B$10,IFERROR(ABS(I90)&gt;='Start Here'!$B$11,TRUE)),AND(ABS(J90)&gt;='Start Here'!$B$10,IFERROR(ABS(K90)&gt;='Start Here'!$B$11,TRUE))),"Review","OK")))</f>
        <v/>
      </c>
      <c r="N90" s="15"/>
      <c r="O90" s="9">
        <f>IF(M90="Review",ABS(H90)+ABS(J90)+ROW()/1000000,0)</f>
        <v>0</v>
      </c>
    </row>
    <row r="91" spans="1:15" x14ac:dyDescent="0.25">
      <c r="A91" t="str">
        <f>IF('Start Here'!$B$8="Paste Import",'Paste Import'!A91,'Manual Input'!A91)</f>
        <v/>
      </c>
      <c r="B91" t="str">
        <f>IF('Start Here'!$B$8="Paste Import",'Paste Import'!B91,'Manual Input'!B91)</f>
        <v/>
      </c>
      <c r="C91" t="str">
        <f>IF('Start Here'!$B$8="Paste Import",'Paste Import'!C91,'Manual Input'!C91)</f>
        <v/>
      </c>
      <c r="D91" t="str">
        <f>IF('Start Here'!$B$8="Paste Import",'Paste Import'!D91,'Manual Input'!D91)</f>
        <v/>
      </c>
      <c r="E91" s="9" t="str">
        <f>IF('Start Here'!$B$8="Paste Import",'Paste Import'!E91,'Manual Input'!E91)</f>
        <v/>
      </c>
      <c r="F91" s="9" t="str">
        <f>IF('Start Here'!$B$8="Paste Import",'Paste Import'!F91,'Manual Input'!F91)</f>
        <v/>
      </c>
      <c r="G91" s="9" t="str">
        <f>IF('Start Here'!$B$8="Paste Import",'Paste Import'!G91,'Manual Input'!G91)</f>
        <v/>
      </c>
      <c r="H91" s="9" t="str">
        <f>IF(C91="","",E91-F91)</f>
        <v/>
      </c>
      <c r="I91" s="14" t="str">
        <f>IF(C91="","",IF(F91=0,IF(E91=0,"","New"),H91/ABS(F91)))</f>
        <v/>
      </c>
      <c r="J91" s="9" t="str">
        <f>IF(C91="","",E91-G91)</f>
        <v/>
      </c>
      <c r="K91" s="14" t="str">
        <f>IF(C91="","",IF(G91=0,IF(E91=0,"","New"),J91/ABS(G91)))</f>
        <v/>
      </c>
      <c r="L91" t="str">
        <f>IF('Start Here'!$B$8="Paste Import",'Paste Import'!H91,'Manual Input'!H91)</f>
        <v/>
      </c>
      <c r="M91" t="str">
        <f>IF(C91="","",IF(OR(D91="",L91=""),"Incomplete",IF(OR(AND(ABS(H91)&gt;='Start Here'!$B$10,IFERROR(ABS(I91)&gt;='Start Here'!$B$11,TRUE)),AND(ABS(J91)&gt;='Start Here'!$B$10,IFERROR(ABS(K91)&gt;='Start Here'!$B$11,TRUE))),"Review","OK")))</f>
        <v/>
      </c>
      <c r="N91" s="15"/>
      <c r="O91" s="9">
        <f>IF(M91="Review",ABS(H91)+ABS(J91)+ROW()/1000000,0)</f>
        <v>0</v>
      </c>
    </row>
    <row r="92" spans="1:15" x14ac:dyDescent="0.25">
      <c r="A92" t="str">
        <f>IF('Start Here'!$B$8="Paste Import",'Paste Import'!A92,'Manual Input'!A92)</f>
        <v/>
      </c>
      <c r="B92" t="str">
        <f>IF('Start Here'!$B$8="Paste Import",'Paste Import'!B92,'Manual Input'!B92)</f>
        <v/>
      </c>
      <c r="C92" t="str">
        <f>IF('Start Here'!$B$8="Paste Import",'Paste Import'!C92,'Manual Input'!C92)</f>
        <v/>
      </c>
      <c r="D92" t="str">
        <f>IF('Start Here'!$B$8="Paste Import",'Paste Import'!D92,'Manual Input'!D92)</f>
        <v/>
      </c>
      <c r="E92" s="9" t="str">
        <f>IF('Start Here'!$B$8="Paste Import",'Paste Import'!E92,'Manual Input'!E92)</f>
        <v/>
      </c>
      <c r="F92" s="9" t="str">
        <f>IF('Start Here'!$B$8="Paste Import",'Paste Import'!F92,'Manual Input'!F92)</f>
        <v/>
      </c>
      <c r="G92" s="9" t="str">
        <f>IF('Start Here'!$B$8="Paste Import",'Paste Import'!G92,'Manual Input'!G92)</f>
        <v/>
      </c>
      <c r="H92" s="9" t="str">
        <f>IF(C92="","",E92-F92)</f>
        <v/>
      </c>
      <c r="I92" s="14" t="str">
        <f>IF(C92="","",IF(F92=0,IF(E92=0,"","New"),H92/ABS(F92)))</f>
        <v/>
      </c>
      <c r="J92" s="9" t="str">
        <f>IF(C92="","",E92-G92)</f>
        <v/>
      </c>
      <c r="K92" s="14" t="str">
        <f>IF(C92="","",IF(G92=0,IF(E92=0,"","New"),J92/ABS(G92)))</f>
        <v/>
      </c>
      <c r="L92" t="str">
        <f>IF('Start Here'!$B$8="Paste Import",'Paste Import'!H92,'Manual Input'!H92)</f>
        <v/>
      </c>
      <c r="M92" t="str">
        <f>IF(C92="","",IF(OR(D92="",L92=""),"Incomplete",IF(OR(AND(ABS(H92)&gt;='Start Here'!$B$10,IFERROR(ABS(I92)&gt;='Start Here'!$B$11,TRUE)),AND(ABS(J92)&gt;='Start Here'!$B$10,IFERROR(ABS(K92)&gt;='Start Here'!$B$11,TRUE))),"Review","OK")))</f>
        <v/>
      </c>
      <c r="N92" s="15"/>
      <c r="O92" s="9">
        <f>IF(M92="Review",ABS(H92)+ABS(J92)+ROW()/1000000,0)</f>
        <v>0</v>
      </c>
    </row>
    <row r="93" spans="1:15" x14ac:dyDescent="0.25">
      <c r="A93" t="str">
        <f>IF('Start Here'!$B$8="Paste Import",'Paste Import'!A93,'Manual Input'!A93)</f>
        <v/>
      </c>
      <c r="B93" t="str">
        <f>IF('Start Here'!$B$8="Paste Import",'Paste Import'!B93,'Manual Input'!B93)</f>
        <v/>
      </c>
      <c r="C93" t="str">
        <f>IF('Start Here'!$B$8="Paste Import",'Paste Import'!C93,'Manual Input'!C93)</f>
        <v/>
      </c>
      <c r="D93" t="str">
        <f>IF('Start Here'!$B$8="Paste Import",'Paste Import'!D93,'Manual Input'!D93)</f>
        <v/>
      </c>
      <c r="E93" s="9" t="str">
        <f>IF('Start Here'!$B$8="Paste Import",'Paste Import'!E93,'Manual Input'!E93)</f>
        <v/>
      </c>
      <c r="F93" s="9" t="str">
        <f>IF('Start Here'!$B$8="Paste Import",'Paste Import'!F93,'Manual Input'!F93)</f>
        <v/>
      </c>
      <c r="G93" s="9" t="str">
        <f>IF('Start Here'!$B$8="Paste Import",'Paste Import'!G93,'Manual Input'!G93)</f>
        <v/>
      </c>
      <c r="H93" s="9" t="str">
        <f>IF(C93="","",E93-F93)</f>
        <v/>
      </c>
      <c r="I93" s="14" t="str">
        <f>IF(C93="","",IF(F93=0,IF(E93=0,"","New"),H93/ABS(F93)))</f>
        <v/>
      </c>
      <c r="J93" s="9" t="str">
        <f>IF(C93="","",E93-G93)</f>
        <v/>
      </c>
      <c r="K93" s="14" t="str">
        <f>IF(C93="","",IF(G93=0,IF(E93=0,"","New"),J93/ABS(G93)))</f>
        <v/>
      </c>
      <c r="L93" t="str">
        <f>IF('Start Here'!$B$8="Paste Import",'Paste Import'!H93,'Manual Input'!H93)</f>
        <v/>
      </c>
      <c r="M93" t="str">
        <f>IF(C93="","",IF(OR(D93="",L93=""),"Incomplete",IF(OR(AND(ABS(H93)&gt;='Start Here'!$B$10,IFERROR(ABS(I93)&gt;='Start Here'!$B$11,TRUE)),AND(ABS(J93)&gt;='Start Here'!$B$10,IFERROR(ABS(K93)&gt;='Start Here'!$B$11,TRUE))),"Review","OK")))</f>
        <v/>
      </c>
      <c r="N93" s="15"/>
      <c r="O93" s="9">
        <f>IF(M93="Review",ABS(H93)+ABS(J93)+ROW()/1000000,0)</f>
        <v>0</v>
      </c>
    </row>
    <row r="94" spans="1:15" x14ac:dyDescent="0.25">
      <c r="A94" t="str">
        <f>IF('Start Here'!$B$8="Paste Import",'Paste Import'!A94,'Manual Input'!A94)</f>
        <v/>
      </c>
      <c r="B94" t="str">
        <f>IF('Start Here'!$B$8="Paste Import",'Paste Import'!B94,'Manual Input'!B94)</f>
        <v/>
      </c>
      <c r="C94" t="str">
        <f>IF('Start Here'!$B$8="Paste Import",'Paste Import'!C94,'Manual Input'!C94)</f>
        <v/>
      </c>
      <c r="D94" t="str">
        <f>IF('Start Here'!$B$8="Paste Import",'Paste Import'!D94,'Manual Input'!D94)</f>
        <v/>
      </c>
      <c r="E94" s="9" t="str">
        <f>IF('Start Here'!$B$8="Paste Import",'Paste Import'!E94,'Manual Input'!E94)</f>
        <v/>
      </c>
      <c r="F94" s="9" t="str">
        <f>IF('Start Here'!$B$8="Paste Import",'Paste Import'!F94,'Manual Input'!F94)</f>
        <v/>
      </c>
      <c r="G94" s="9" t="str">
        <f>IF('Start Here'!$B$8="Paste Import",'Paste Import'!G94,'Manual Input'!G94)</f>
        <v/>
      </c>
      <c r="H94" s="9" t="str">
        <f>IF(C94="","",E94-F94)</f>
        <v/>
      </c>
      <c r="I94" s="14" t="str">
        <f>IF(C94="","",IF(F94=0,IF(E94=0,"","New"),H94/ABS(F94)))</f>
        <v/>
      </c>
      <c r="J94" s="9" t="str">
        <f>IF(C94="","",E94-G94)</f>
        <v/>
      </c>
      <c r="K94" s="14" t="str">
        <f>IF(C94="","",IF(G94=0,IF(E94=0,"","New"),J94/ABS(G94)))</f>
        <v/>
      </c>
      <c r="L94" t="str">
        <f>IF('Start Here'!$B$8="Paste Import",'Paste Import'!H94,'Manual Input'!H94)</f>
        <v/>
      </c>
      <c r="M94" t="str">
        <f>IF(C94="","",IF(OR(D94="",L94=""),"Incomplete",IF(OR(AND(ABS(H94)&gt;='Start Here'!$B$10,IFERROR(ABS(I94)&gt;='Start Here'!$B$11,TRUE)),AND(ABS(J94)&gt;='Start Here'!$B$10,IFERROR(ABS(K94)&gt;='Start Here'!$B$11,TRUE))),"Review","OK")))</f>
        <v/>
      </c>
      <c r="N94" s="15"/>
      <c r="O94" s="9">
        <f>IF(M94="Review",ABS(H94)+ABS(J94)+ROW()/1000000,0)</f>
        <v>0</v>
      </c>
    </row>
    <row r="95" spans="1:15" x14ac:dyDescent="0.25">
      <c r="A95" t="str">
        <f>IF('Start Here'!$B$8="Paste Import",'Paste Import'!A95,'Manual Input'!A95)</f>
        <v/>
      </c>
      <c r="B95" t="str">
        <f>IF('Start Here'!$B$8="Paste Import",'Paste Import'!B95,'Manual Input'!B95)</f>
        <v/>
      </c>
      <c r="C95" t="str">
        <f>IF('Start Here'!$B$8="Paste Import",'Paste Import'!C95,'Manual Input'!C95)</f>
        <v/>
      </c>
      <c r="D95" t="str">
        <f>IF('Start Here'!$B$8="Paste Import",'Paste Import'!D95,'Manual Input'!D95)</f>
        <v/>
      </c>
      <c r="E95" s="9" t="str">
        <f>IF('Start Here'!$B$8="Paste Import",'Paste Import'!E95,'Manual Input'!E95)</f>
        <v/>
      </c>
      <c r="F95" s="9" t="str">
        <f>IF('Start Here'!$B$8="Paste Import",'Paste Import'!F95,'Manual Input'!F95)</f>
        <v/>
      </c>
      <c r="G95" s="9" t="str">
        <f>IF('Start Here'!$B$8="Paste Import",'Paste Import'!G95,'Manual Input'!G95)</f>
        <v/>
      </c>
      <c r="H95" s="9" t="str">
        <f>IF(C95="","",E95-F95)</f>
        <v/>
      </c>
      <c r="I95" s="14" t="str">
        <f>IF(C95="","",IF(F95=0,IF(E95=0,"","New"),H95/ABS(F95)))</f>
        <v/>
      </c>
      <c r="J95" s="9" t="str">
        <f>IF(C95="","",E95-G95)</f>
        <v/>
      </c>
      <c r="K95" s="14" t="str">
        <f>IF(C95="","",IF(G95=0,IF(E95=0,"","New"),J95/ABS(G95)))</f>
        <v/>
      </c>
      <c r="L95" t="str">
        <f>IF('Start Here'!$B$8="Paste Import",'Paste Import'!H95,'Manual Input'!H95)</f>
        <v/>
      </c>
      <c r="M95" t="str">
        <f>IF(C95="","",IF(OR(D95="",L95=""),"Incomplete",IF(OR(AND(ABS(H95)&gt;='Start Here'!$B$10,IFERROR(ABS(I95)&gt;='Start Here'!$B$11,TRUE)),AND(ABS(J95)&gt;='Start Here'!$B$10,IFERROR(ABS(K95)&gt;='Start Here'!$B$11,TRUE))),"Review","OK")))</f>
        <v/>
      </c>
      <c r="N95" s="15"/>
      <c r="O95" s="9">
        <f>IF(M95="Review",ABS(H95)+ABS(J95)+ROW()/1000000,0)</f>
        <v>0</v>
      </c>
    </row>
    <row r="96" spans="1:15" x14ac:dyDescent="0.25">
      <c r="A96" t="str">
        <f>IF('Start Here'!$B$8="Paste Import",'Paste Import'!A96,'Manual Input'!A96)</f>
        <v/>
      </c>
      <c r="B96" t="str">
        <f>IF('Start Here'!$B$8="Paste Import",'Paste Import'!B96,'Manual Input'!B96)</f>
        <v/>
      </c>
      <c r="C96" t="str">
        <f>IF('Start Here'!$B$8="Paste Import",'Paste Import'!C96,'Manual Input'!C96)</f>
        <v/>
      </c>
      <c r="D96" t="str">
        <f>IF('Start Here'!$B$8="Paste Import",'Paste Import'!D96,'Manual Input'!D96)</f>
        <v/>
      </c>
      <c r="E96" s="9" t="str">
        <f>IF('Start Here'!$B$8="Paste Import",'Paste Import'!E96,'Manual Input'!E96)</f>
        <v/>
      </c>
      <c r="F96" s="9" t="str">
        <f>IF('Start Here'!$B$8="Paste Import",'Paste Import'!F96,'Manual Input'!F96)</f>
        <v/>
      </c>
      <c r="G96" s="9" t="str">
        <f>IF('Start Here'!$B$8="Paste Import",'Paste Import'!G96,'Manual Input'!G96)</f>
        <v/>
      </c>
      <c r="H96" s="9" t="str">
        <f>IF(C96="","",E96-F96)</f>
        <v/>
      </c>
      <c r="I96" s="14" t="str">
        <f>IF(C96="","",IF(F96=0,IF(E96=0,"","New"),H96/ABS(F96)))</f>
        <v/>
      </c>
      <c r="J96" s="9" t="str">
        <f>IF(C96="","",E96-G96)</f>
        <v/>
      </c>
      <c r="K96" s="14" t="str">
        <f>IF(C96="","",IF(G96=0,IF(E96=0,"","New"),J96/ABS(G96)))</f>
        <v/>
      </c>
      <c r="L96" t="str">
        <f>IF('Start Here'!$B$8="Paste Import",'Paste Import'!H96,'Manual Input'!H96)</f>
        <v/>
      </c>
      <c r="M96" t="str">
        <f>IF(C96="","",IF(OR(D96="",L96=""),"Incomplete",IF(OR(AND(ABS(H96)&gt;='Start Here'!$B$10,IFERROR(ABS(I96)&gt;='Start Here'!$B$11,TRUE)),AND(ABS(J96)&gt;='Start Here'!$B$10,IFERROR(ABS(K96)&gt;='Start Here'!$B$11,TRUE))),"Review","OK")))</f>
        <v/>
      </c>
      <c r="N96" s="15"/>
      <c r="O96" s="9">
        <f>IF(M96="Review",ABS(H96)+ABS(J96)+ROW()/1000000,0)</f>
        <v>0</v>
      </c>
    </row>
    <row r="97" spans="1:15" x14ac:dyDescent="0.25">
      <c r="A97" t="str">
        <f>IF('Start Here'!$B$8="Paste Import",'Paste Import'!A97,'Manual Input'!A97)</f>
        <v/>
      </c>
      <c r="B97" t="str">
        <f>IF('Start Here'!$B$8="Paste Import",'Paste Import'!B97,'Manual Input'!B97)</f>
        <v/>
      </c>
      <c r="C97" t="str">
        <f>IF('Start Here'!$B$8="Paste Import",'Paste Import'!C97,'Manual Input'!C97)</f>
        <v/>
      </c>
      <c r="D97" t="str">
        <f>IF('Start Here'!$B$8="Paste Import",'Paste Import'!D97,'Manual Input'!D97)</f>
        <v/>
      </c>
      <c r="E97" s="9" t="str">
        <f>IF('Start Here'!$B$8="Paste Import",'Paste Import'!E97,'Manual Input'!E97)</f>
        <v/>
      </c>
      <c r="F97" s="9" t="str">
        <f>IF('Start Here'!$B$8="Paste Import",'Paste Import'!F97,'Manual Input'!F97)</f>
        <v/>
      </c>
      <c r="G97" s="9" t="str">
        <f>IF('Start Here'!$B$8="Paste Import",'Paste Import'!G97,'Manual Input'!G97)</f>
        <v/>
      </c>
      <c r="H97" s="9" t="str">
        <f>IF(C97="","",E97-F97)</f>
        <v/>
      </c>
      <c r="I97" s="14" t="str">
        <f>IF(C97="","",IF(F97=0,IF(E97=0,"","New"),H97/ABS(F97)))</f>
        <v/>
      </c>
      <c r="J97" s="9" t="str">
        <f>IF(C97="","",E97-G97)</f>
        <v/>
      </c>
      <c r="K97" s="14" t="str">
        <f>IF(C97="","",IF(G97=0,IF(E97=0,"","New"),J97/ABS(G97)))</f>
        <v/>
      </c>
      <c r="L97" t="str">
        <f>IF('Start Here'!$B$8="Paste Import",'Paste Import'!H97,'Manual Input'!H97)</f>
        <v/>
      </c>
      <c r="M97" t="str">
        <f>IF(C97="","",IF(OR(D97="",L97=""),"Incomplete",IF(OR(AND(ABS(H97)&gt;='Start Here'!$B$10,IFERROR(ABS(I97)&gt;='Start Here'!$B$11,TRUE)),AND(ABS(J97)&gt;='Start Here'!$B$10,IFERROR(ABS(K97)&gt;='Start Here'!$B$11,TRUE))),"Review","OK")))</f>
        <v/>
      </c>
      <c r="N97" s="15"/>
      <c r="O97" s="9">
        <f>IF(M97="Review",ABS(H97)+ABS(J97)+ROW()/1000000,0)</f>
        <v>0</v>
      </c>
    </row>
    <row r="98" spans="1:15" x14ac:dyDescent="0.25">
      <c r="A98" t="str">
        <f>IF('Start Here'!$B$8="Paste Import",'Paste Import'!A98,'Manual Input'!A98)</f>
        <v/>
      </c>
      <c r="B98" t="str">
        <f>IF('Start Here'!$B$8="Paste Import",'Paste Import'!B98,'Manual Input'!B98)</f>
        <v/>
      </c>
      <c r="C98" t="str">
        <f>IF('Start Here'!$B$8="Paste Import",'Paste Import'!C98,'Manual Input'!C98)</f>
        <v/>
      </c>
      <c r="D98" t="str">
        <f>IF('Start Here'!$B$8="Paste Import",'Paste Import'!D98,'Manual Input'!D98)</f>
        <v/>
      </c>
      <c r="E98" s="9" t="str">
        <f>IF('Start Here'!$B$8="Paste Import",'Paste Import'!E98,'Manual Input'!E98)</f>
        <v/>
      </c>
      <c r="F98" s="9" t="str">
        <f>IF('Start Here'!$B$8="Paste Import",'Paste Import'!F98,'Manual Input'!F98)</f>
        <v/>
      </c>
      <c r="G98" s="9" t="str">
        <f>IF('Start Here'!$B$8="Paste Import",'Paste Import'!G98,'Manual Input'!G98)</f>
        <v/>
      </c>
      <c r="H98" s="9" t="str">
        <f>IF(C98="","",E98-F98)</f>
        <v/>
      </c>
      <c r="I98" s="14" t="str">
        <f>IF(C98="","",IF(F98=0,IF(E98=0,"","New"),H98/ABS(F98)))</f>
        <v/>
      </c>
      <c r="J98" s="9" t="str">
        <f>IF(C98="","",E98-G98)</f>
        <v/>
      </c>
      <c r="K98" s="14" t="str">
        <f>IF(C98="","",IF(G98=0,IF(E98=0,"","New"),J98/ABS(G98)))</f>
        <v/>
      </c>
      <c r="L98" t="str">
        <f>IF('Start Here'!$B$8="Paste Import",'Paste Import'!H98,'Manual Input'!H98)</f>
        <v/>
      </c>
      <c r="M98" t="str">
        <f>IF(C98="","",IF(OR(D98="",L98=""),"Incomplete",IF(OR(AND(ABS(H98)&gt;='Start Here'!$B$10,IFERROR(ABS(I98)&gt;='Start Here'!$B$11,TRUE)),AND(ABS(J98)&gt;='Start Here'!$B$10,IFERROR(ABS(K98)&gt;='Start Here'!$B$11,TRUE))),"Review","OK")))</f>
        <v/>
      </c>
      <c r="N98" s="15"/>
      <c r="O98" s="9">
        <f>IF(M98="Review",ABS(H98)+ABS(J98)+ROW()/1000000,0)</f>
        <v>0</v>
      </c>
    </row>
    <row r="99" spans="1:15" x14ac:dyDescent="0.25">
      <c r="A99" t="str">
        <f>IF('Start Here'!$B$8="Paste Import",'Paste Import'!A99,'Manual Input'!A99)</f>
        <v/>
      </c>
      <c r="B99" t="str">
        <f>IF('Start Here'!$B$8="Paste Import",'Paste Import'!B99,'Manual Input'!B99)</f>
        <v/>
      </c>
      <c r="C99" t="str">
        <f>IF('Start Here'!$B$8="Paste Import",'Paste Import'!C99,'Manual Input'!C99)</f>
        <v/>
      </c>
      <c r="D99" t="str">
        <f>IF('Start Here'!$B$8="Paste Import",'Paste Import'!D99,'Manual Input'!D99)</f>
        <v/>
      </c>
      <c r="E99" s="9" t="str">
        <f>IF('Start Here'!$B$8="Paste Import",'Paste Import'!E99,'Manual Input'!E99)</f>
        <v/>
      </c>
      <c r="F99" s="9" t="str">
        <f>IF('Start Here'!$B$8="Paste Import",'Paste Import'!F99,'Manual Input'!F99)</f>
        <v/>
      </c>
      <c r="G99" s="9" t="str">
        <f>IF('Start Here'!$B$8="Paste Import",'Paste Import'!G99,'Manual Input'!G99)</f>
        <v/>
      </c>
      <c r="H99" s="9" t="str">
        <f>IF(C99="","",E99-F99)</f>
        <v/>
      </c>
      <c r="I99" s="14" t="str">
        <f>IF(C99="","",IF(F99=0,IF(E99=0,"","New"),H99/ABS(F99)))</f>
        <v/>
      </c>
      <c r="J99" s="9" t="str">
        <f>IF(C99="","",E99-G99)</f>
        <v/>
      </c>
      <c r="K99" s="14" t="str">
        <f>IF(C99="","",IF(G99=0,IF(E99=0,"","New"),J99/ABS(G99)))</f>
        <v/>
      </c>
      <c r="L99" t="str">
        <f>IF('Start Here'!$B$8="Paste Import",'Paste Import'!H99,'Manual Input'!H99)</f>
        <v/>
      </c>
      <c r="M99" t="str">
        <f>IF(C99="","",IF(OR(D99="",L99=""),"Incomplete",IF(OR(AND(ABS(H99)&gt;='Start Here'!$B$10,IFERROR(ABS(I99)&gt;='Start Here'!$B$11,TRUE)),AND(ABS(J99)&gt;='Start Here'!$B$10,IFERROR(ABS(K99)&gt;='Start Here'!$B$11,TRUE))),"Review","OK")))</f>
        <v/>
      </c>
      <c r="N99" s="15"/>
      <c r="O99" s="9">
        <f>IF(M99="Review",ABS(H99)+ABS(J99)+ROW()/1000000,0)</f>
        <v>0</v>
      </c>
    </row>
    <row r="100" spans="1:15" x14ac:dyDescent="0.25">
      <c r="A100" t="str">
        <f>IF('Start Here'!$B$8="Paste Import",'Paste Import'!A100,'Manual Input'!A100)</f>
        <v/>
      </c>
      <c r="B100" t="str">
        <f>IF('Start Here'!$B$8="Paste Import",'Paste Import'!B100,'Manual Input'!B100)</f>
        <v/>
      </c>
      <c r="C100" t="str">
        <f>IF('Start Here'!$B$8="Paste Import",'Paste Import'!C100,'Manual Input'!C100)</f>
        <v/>
      </c>
      <c r="D100" t="str">
        <f>IF('Start Here'!$B$8="Paste Import",'Paste Import'!D100,'Manual Input'!D100)</f>
        <v/>
      </c>
      <c r="E100" s="9" t="str">
        <f>IF('Start Here'!$B$8="Paste Import",'Paste Import'!E100,'Manual Input'!E100)</f>
        <v/>
      </c>
      <c r="F100" s="9" t="str">
        <f>IF('Start Here'!$B$8="Paste Import",'Paste Import'!F100,'Manual Input'!F100)</f>
        <v/>
      </c>
      <c r="G100" s="9" t="str">
        <f>IF('Start Here'!$B$8="Paste Import",'Paste Import'!G100,'Manual Input'!G100)</f>
        <v/>
      </c>
      <c r="H100" s="9" t="str">
        <f>IF(C100="","",E100-F100)</f>
        <v/>
      </c>
      <c r="I100" s="14" t="str">
        <f>IF(C100="","",IF(F100=0,IF(E100=0,"","New"),H100/ABS(F100)))</f>
        <v/>
      </c>
      <c r="J100" s="9" t="str">
        <f>IF(C100="","",E100-G100)</f>
        <v/>
      </c>
      <c r="K100" s="14" t="str">
        <f>IF(C100="","",IF(G100=0,IF(E100=0,"","New"),J100/ABS(G100)))</f>
        <v/>
      </c>
      <c r="L100" t="str">
        <f>IF('Start Here'!$B$8="Paste Import",'Paste Import'!H100,'Manual Input'!H100)</f>
        <v/>
      </c>
      <c r="M100" t="str">
        <f>IF(C100="","",IF(OR(D100="",L100=""),"Incomplete",IF(OR(AND(ABS(H100)&gt;='Start Here'!$B$10,IFERROR(ABS(I100)&gt;='Start Here'!$B$11,TRUE)),AND(ABS(J100)&gt;='Start Here'!$B$10,IFERROR(ABS(K100)&gt;='Start Here'!$B$11,TRUE))),"Review","OK")))</f>
        <v/>
      </c>
      <c r="N100" s="15"/>
      <c r="O100" s="9">
        <f>IF(M100="Review",ABS(H100)+ABS(J100)+ROW()/1000000,0)</f>
        <v>0</v>
      </c>
    </row>
    <row r="101" spans="1:15" x14ac:dyDescent="0.25">
      <c r="A101" t="str">
        <f>IF('Start Here'!$B$8="Paste Import",'Paste Import'!A101,'Manual Input'!A101)</f>
        <v/>
      </c>
      <c r="B101" t="str">
        <f>IF('Start Here'!$B$8="Paste Import",'Paste Import'!B101,'Manual Input'!B101)</f>
        <v/>
      </c>
      <c r="C101" t="str">
        <f>IF('Start Here'!$B$8="Paste Import",'Paste Import'!C101,'Manual Input'!C101)</f>
        <v/>
      </c>
      <c r="D101" t="str">
        <f>IF('Start Here'!$B$8="Paste Import",'Paste Import'!D101,'Manual Input'!D101)</f>
        <v/>
      </c>
      <c r="E101" s="9" t="str">
        <f>IF('Start Here'!$B$8="Paste Import",'Paste Import'!E101,'Manual Input'!E101)</f>
        <v/>
      </c>
      <c r="F101" s="9" t="str">
        <f>IF('Start Here'!$B$8="Paste Import",'Paste Import'!F101,'Manual Input'!F101)</f>
        <v/>
      </c>
      <c r="G101" s="9" t="str">
        <f>IF('Start Here'!$B$8="Paste Import",'Paste Import'!G101,'Manual Input'!G101)</f>
        <v/>
      </c>
      <c r="H101" s="9" t="str">
        <f>IF(C101="","",E101-F101)</f>
        <v/>
      </c>
      <c r="I101" s="14" t="str">
        <f>IF(C101="","",IF(F101=0,IF(E101=0,"","New"),H101/ABS(F101)))</f>
        <v/>
      </c>
      <c r="J101" s="9" t="str">
        <f>IF(C101="","",E101-G101)</f>
        <v/>
      </c>
      <c r="K101" s="14" t="str">
        <f>IF(C101="","",IF(G101=0,IF(E101=0,"","New"),J101/ABS(G101)))</f>
        <v/>
      </c>
      <c r="L101" t="str">
        <f>IF('Start Here'!$B$8="Paste Import",'Paste Import'!H101,'Manual Input'!H101)</f>
        <v/>
      </c>
      <c r="M101" t="str">
        <f>IF(C101="","",IF(OR(D101="",L101=""),"Incomplete",IF(OR(AND(ABS(H101)&gt;='Start Here'!$B$10,IFERROR(ABS(I101)&gt;='Start Here'!$B$11,TRUE)),AND(ABS(J101)&gt;='Start Here'!$B$10,IFERROR(ABS(K101)&gt;='Start Here'!$B$11,TRUE))),"Review","OK")))</f>
        <v/>
      </c>
      <c r="N101" s="15"/>
      <c r="O101" s="9">
        <f>IF(M101="Review",ABS(H101)+ABS(J101)+ROW()/1000000,0)</f>
        <v>0</v>
      </c>
    </row>
    <row r="102" spans="1:15" x14ac:dyDescent="0.25">
      <c r="A102" t="str">
        <f>IF('Start Here'!$B$8="Paste Import",'Paste Import'!A102,'Manual Input'!A102)</f>
        <v/>
      </c>
      <c r="B102" t="str">
        <f>IF('Start Here'!$B$8="Paste Import",'Paste Import'!B102,'Manual Input'!B102)</f>
        <v/>
      </c>
      <c r="C102" t="str">
        <f>IF('Start Here'!$B$8="Paste Import",'Paste Import'!C102,'Manual Input'!C102)</f>
        <v/>
      </c>
      <c r="D102" t="str">
        <f>IF('Start Here'!$B$8="Paste Import",'Paste Import'!D102,'Manual Input'!D102)</f>
        <v/>
      </c>
      <c r="E102" s="9" t="str">
        <f>IF('Start Here'!$B$8="Paste Import",'Paste Import'!E102,'Manual Input'!E102)</f>
        <v/>
      </c>
      <c r="F102" s="9" t="str">
        <f>IF('Start Here'!$B$8="Paste Import",'Paste Import'!F102,'Manual Input'!F102)</f>
        <v/>
      </c>
      <c r="G102" s="9" t="str">
        <f>IF('Start Here'!$B$8="Paste Import",'Paste Import'!G102,'Manual Input'!G102)</f>
        <v/>
      </c>
      <c r="H102" s="9" t="str">
        <f>IF(C102="","",E102-F102)</f>
        <v/>
      </c>
      <c r="I102" s="14" t="str">
        <f>IF(C102="","",IF(F102=0,IF(E102=0,"","New"),H102/ABS(F102)))</f>
        <v/>
      </c>
      <c r="J102" s="9" t="str">
        <f>IF(C102="","",E102-G102)</f>
        <v/>
      </c>
      <c r="K102" s="14" t="str">
        <f>IF(C102="","",IF(G102=0,IF(E102=0,"","New"),J102/ABS(G102)))</f>
        <v/>
      </c>
      <c r="L102" t="str">
        <f>IF('Start Here'!$B$8="Paste Import",'Paste Import'!H102,'Manual Input'!H102)</f>
        <v/>
      </c>
      <c r="M102" t="str">
        <f>IF(C102="","",IF(OR(D102="",L102=""),"Incomplete",IF(OR(AND(ABS(H102)&gt;='Start Here'!$B$10,IFERROR(ABS(I102)&gt;='Start Here'!$B$11,TRUE)),AND(ABS(J102)&gt;='Start Here'!$B$10,IFERROR(ABS(K102)&gt;='Start Here'!$B$11,TRUE))),"Review","OK")))</f>
        <v/>
      </c>
      <c r="N102" s="15"/>
      <c r="O102" s="9">
        <f>IF(M102="Review",ABS(H102)+ABS(J102)+ROW()/1000000,0)</f>
        <v>0</v>
      </c>
    </row>
    <row r="103" spans="1:15" x14ac:dyDescent="0.25">
      <c r="A103" t="str">
        <f>IF('Start Here'!$B$8="Paste Import",'Paste Import'!A103,'Manual Input'!A103)</f>
        <v/>
      </c>
      <c r="B103" t="str">
        <f>IF('Start Here'!$B$8="Paste Import",'Paste Import'!B103,'Manual Input'!B103)</f>
        <v/>
      </c>
      <c r="C103" t="str">
        <f>IF('Start Here'!$B$8="Paste Import",'Paste Import'!C103,'Manual Input'!C103)</f>
        <v/>
      </c>
      <c r="D103" t="str">
        <f>IF('Start Here'!$B$8="Paste Import",'Paste Import'!D103,'Manual Input'!D103)</f>
        <v/>
      </c>
      <c r="E103" s="9" t="str">
        <f>IF('Start Here'!$B$8="Paste Import",'Paste Import'!E103,'Manual Input'!E103)</f>
        <v/>
      </c>
      <c r="F103" s="9" t="str">
        <f>IF('Start Here'!$B$8="Paste Import",'Paste Import'!F103,'Manual Input'!F103)</f>
        <v/>
      </c>
      <c r="G103" s="9" t="str">
        <f>IF('Start Here'!$B$8="Paste Import",'Paste Import'!G103,'Manual Input'!G103)</f>
        <v/>
      </c>
      <c r="H103" s="9" t="str">
        <f>IF(C103="","",E103-F103)</f>
        <v/>
      </c>
      <c r="I103" s="14" t="str">
        <f>IF(C103="","",IF(F103=0,IF(E103=0,"","New"),H103/ABS(F103)))</f>
        <v/>
      </c>
      <c r="J103" s="9" t="str">
        <f>IF(C103="","",E103-G103)</f>
        <v/>
      </c>
      <c r="K103" s="14" t="str">
        <f>IF(C103="","",IF(G103=0,IF(E103=0,"","New"),J103/ABS(G103)))</f>
        <v/>
      </c>
      <c r="L103" t="str">
        <f>IF('Start Here'!$B$8="Paste Import",'Paste Import'!H103,'Manual Input'!H103)</f>
        <v/>
      </c>
      <c r="M103" t="str">
        <f>IF(C103="","",IF(OR(D103="",L103=""),"Incomplete",IF(OR(AND(ABS(H103)&gt;='Start Here'!$B$10,IFERROR(ABS(I103)&gt;='Start Here'!$B$11,TRUE)),AND(ABS(J103)&gt;='Start Here'!$B$10,IFERROR(ABS(K103)&gt;='Start Here'!$B$11,TRUE))),"Review","OK")))</f>
        <v/>
      </c>
      <c r="N103" s="15"/>
      <c r="O103" s="9">
        <f>IF(M103="Review",ABS(H103)+ABS(J103)+ROW()/1000000,0)</f>
        <v>0</v>
      </c>
    </row>
    <row r="104" spans="1:15" x14ac:dyDescent="0.25">
      <c r="A104" t="str">
        <f>IF('Start Here'!$B$8="Paste Import",'Paste Import'!A104,'Manual Input'!A104)</f>
        <v/>
      </c>
      <c r="B104" t="str">
        <f>IF('Start Here'!$B$8="Paste Import",'Paste Import'!B104,'Manual Input'!B104)</f>
        <v/>
      </c>
      <c r="C104" t="str">
        <f>IF('Start Here'!$B$8="Paste Import",'Paste Import'!C104,'Manual Input'!C104)</f>
        <v/>
      </c>
      <c r="D104" t="str">
        <f>IF('Start Here'!$B$8="Paste Import",'Paste Import'!D104,'Manual Input'!D104)</f>
        <v/>
      </c>
      <c r="E104" s="9" t="str">
        <f>IF('Start Here'!$B$8="Paste Import",'Paste Import'!E104,'Manual Input'!E104)</f>
        <v/>
      </c>
      <c r="F104" s="9" t="str">
        <f>IF('Start Here'!$B$8="Paste Import",'Paste Import'!F104,'Manual Input'!F104)</f>
        <v/>
      </c>
      <c r="G104" s="9" t="str">
        <f>IF('Start Here'!$B$8="Paste Import",'Paste Import'!G104,'Manual Input'!G104)</f>
        <v/>
      </c>
      <c r="H104" s="9" t="str">
        <f>IF(C104="","",E104-F104)</f>
        <v/>
      </c>
      <c r="I104" s="14" t="str">
        <f>IF(C104="","",IF(F104=0,IF(E104=0,"","New"),H104/ABS(F104)))</f>
        <v/>
      </c>
      <c r="J104" s="9" t="str">
        <f>IF(C104="","",E104-G104)</f>
        <v/>
      </c>
      <c r="K104" s="14" t="str">
        <f>IF(C104="","",IF(G104=0,IF(E104=0,"","New"),J104/ABS(G104)))</f>
        <v/>
      </c>
      <c r="L104" t="str">
        <f>IF('Start Here'!$B$8="Paste Import",'Paste Import'!H104,'Manual Input'!H104)</f>
        <v/>
      </c>
      <c r="M104" t="str">
        <f>IF(C104="","",IF(OR(D104="",L104=""),"Incomplete",IF(OR(AND(ABS(H104)&gt;='Start Here'!$B$10,IFERROR(ABS(I104)&gt;='Start Here'!$B$11,TRUE)),AND(ABS(J104)&gt;='Start Here'!$B$10,IFERROR(ABS(K104)&gt;='Start Here'!$B$11,TRUE))),"Review","OK")))</f>
        <v/>
      </c>
      <c r="N104" s="15"/>
      <c r="O104" s="9">
        <f>IF(M104="Review",ABS(H104)+ABS(J104)+ROW()/1000000,0)</f>
        <v>0</v>
      </c>
    </row>
    <row r="105" spans="1:15" x14ac:dyDescent="0.25">
      <c r="A105" t="str">
        <f>IF('Start Here'!$B$8="Paste Import",'Paste Import'!A105,'Manual Input'!A105)</f>
        <v/>
      </c>
      <c r="B105" t="str">
        <f>IF('Start Here'!$B$8="Paste Import",'Paste Import'!B105,'Manual Input'!B105)</f>
        <v/>
      </c>
      <c r="C105" t="str">
        <f>IF('Start Here'!$B$8="Paste Import",'Paste Import'!C105,'Manual Input'!C105)</f>
        <v/>
      </c>
      <c r="D105" t="str">
        <f>IF('Start Here'!$B$8="Paste Import",'Paste Import'!D105,'Manual Input'!D105)</f>
        <v/>
      </c>
      <c r="E105" s="9" t="str">
        <f>IF('Start Here'!$B$8="Paste Import",'Paste Import'!E105,'Manual Input'!E105)</f>
        <v/>
      </c>
      <c r="F105" s="9" t="str">
        <f>IF('Start Here'!$B$8="Paste Import",'Paste Import'!F105,'Manual Input'!F105)</f>
        <v/>
      </c>
      <c r="G105" s="9" t="str">
        <f>IF('Start Here'!$B$8="Paste Import",'Paste Import'!G105,'Manual Input'!G105)</f>
        <v/>
      </c>
      <c r="H105" s="9" t="str">
        <f>IF(C105="","",E105-F105)</f>
        <v/>
      </c>
      <c r="I105" s="14" t="str">
        <f>IF(C105="","",IF(F105=0,IF(E105=0,"","New"),H105/ABS(F105)))</f>
        <v/>
      </c>
      <c r="J105" s="9" t="str">
        <f>IF(C105="","",E105-G105)</f>
        <v/>
      </c>
      <c r="K105" s="14" t="str">
        <f>IF(C105="","",IF(G105=0,IF(E105=0,"","New"),J105/ABS(G105)))</f>
        <v/>
      </c>
      <c r="L105" t="str">
        <f>IF('Start Here'!$B$8="Paste Import",'Paste Import'!H105,'Manual Input'!H105)</f>
        <v/>
      </c>
      <c r="M105" t="str">
        <f>IF(C105="","",IF(OR(D105="",L105=""),"Incomplete",IF(OR(AND(ABS(H105)&gt;='Start Here'!$B$10,IFERROR(ABS(I105)&gt;='Start Here'!$B$11,TRUE)),AND(ABS(J105)&gt;='Start Here'!$B$10,IFERROR(ABS(K105)&gt;='Start Here'!$B$11,TRUE))),"Review","OK")))</f>
        <v/>
      </c>
      <c r="N105" s="15"/>
      <c r="O105" s="9">
        <f>IF(M105="Review",ABS(H105)+ABS(J105)+ROW()/1000000,0)</f>
        <v>0</v>
      </c>
    </row>
  </sheetData>
  <autoFilter ref="A5:O105"/>
  <mergeCells count="2">
    <mergeCell ref="A1:O2"/>
    <mergeCell ref="A4:O4"/>
  </mergeCells>
  <conditionalFormatting sqref="M6:M105">
    <cfRule type="containsText" dxfId="0" priority="1">
      <formula>NOT(ISERROR(SEARCH("Review",M6)))</formula>
    </cfRule>
    <cfRule type="containsText" dxfId="1" priority="2">
      <formula>NOT(ISERROR(SEARCH("Incomplete",M6)))</formula>
    </cfRule>
    <cfRule type="containsText" dxfId="2" priority="3">
      <formula>NOT(ISERROR(SEARCH("OK",M6)))</formula>
    </cfRule>
  </conditionalFormatting>
  <pageSetup orientation="landscape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24"/>
  <sheetViews>
    <sheetView workbookViewId="0" showGridLines="0"/>
  </sheetViews>
  <sheetFormatPr defaultRowHeight="15" outlineLevelRow="0" outlineLevelCol="0" x14ac:dyDescent="55"/>
  <cols>
    <col min="1" max="1" width="14" customWidth="1"/>
    <col min="2" max="2" width="29" customWidth="1"/>
    <col min="3" max="3" width="24" customWidth="1"/>
    <col min="4" max="6" width="17" customWidth="1"/>
    <col min="7" max="7" width="14" customWidth="1"/>
    <col min="8" max="8" width="26" customWidth="1"/>
  </cols>
  <sheetData>
    <row r="1" ht="28" customHeight="1" spans="1:8" x14ac:dyDescent="0.25">
      <c r="A1" s="1" t="s">
        <v>84</v>
      </c>
      <c r="B1" s="1"/>
      <c r="C1" s="1"/>
      <c r="D1" s="1"/>
      <c r="E1" s="1"/>
      <c r="F1" s="1"/>
      <c r="G1" s="1"/>
      <c r="H1" s="1"/>
    </row>
    <row r="2" spans="1:8" x14ac:dyDescent="0.25">
      <c r="A2" s="1"/>
      <c r="B2" s="1"/>
      <c r="C2" s="1"/>
      <c r="D2" s="1"/>
      <c r="E2" s="1"/>
      <c r="F2" s="1"/>
      <c r="G2" s="1"/>
      <c r="H2" s="1"/>
    </row>
    <row r="3" spans="1:8" x14ac:dyDescent="0.25">
      <c r="A3" s="16" t="s">
        <v>85</v>
      </c>
      <c r="B3" s="16"/>
      <c r="C3" s="16"/>
      <c r="D3" s="16"/>
      <c r="E3" s="16"/>
      <c r="F3" s="16"/>
      <c r="G3" s="16"/>
      <c r="H3" s="16"/>
    </row>
    <row r="4" spans="1:8" x14ac:dyDescent="0.25"/>
    <row r="5" spans="1:8" x14ac:dyDescent="0.25">
      <c r="A5" s="17" t="s">
        <v>86</v>
      </c>
      <c r="B5" s="17" t="str">
        <f>'Start Here'!B4</f>
        <v>Northstar Components LLC</v>
      </c>
      <c r="C5" s="17" t="s">
        <v>3</v>
      </c>
      <c r="D5" s="17" t="str">
        <f>'Start Here'!B5</f>
        <v>2026-06-30</v>
      </c>
      <c r="E5" s="17" t="s">
        <v>4</v>
      </c>
      <c r="F5" s="17" t="str">
        <f>'Start Here'!B6</f>
        <v>Taylor Morgan</v>
      </c>
      <c r="G5" s="17" t="s">
        <v>87</v>
      </c>
      <c r="H5" s="18" t="str">
        <f>IF(D12=0,"Complete","Review")</f>
        <v>Review</v>
      </c>
    </row>
    <row r="6" spans="1:8" x14ac:dyDescent="0.25"/>
    <row r="7" spans="1:8" x14ac:dyDescent="0.25"/>
    <row r="8" spans="1:8" x14ac:dyDescent="0.25">
      <c r="A8" s="19" t="s">
        <v>40</v>
      </c>
      <c r="B8" s="17"/>
      <c r="C8" s="19" t="s">
        <v>88</v>
      </c>
      <c r="D8" s="17"/>
      <c r="E8" s="19" t="s">
        <v>89</v>
      </c>
      <c r="F8" s="17"/>
      <c r="G8" s="19" t="s">
        <v>90</v>
      </c>
    </row>
    <row r="9" spans="1:8" x14ac:dyDescent="0.25">
      <c r="A9" s="20">
        <f>SUMIFS('Review'!$E$6:$E$105,'Review'!$L$6:$L$105,"Revenue")</f>
        <v>303000</v>
      </c>
      <c r="B9" s="17"/>
      <c r="C9" s="20">
        <f>B8-SUMIFS('Review'!$E$6:$E$105,'Review'!$L$6:$L$105,"Cost of Goods Sold")</f>
        <v>212000</v>
      </c>
      <c r="D9" s="17"/>
      <c r="E9" s="20">
        <f>D8-SUMIFS('Review'!$E$6:$E$105,'Review'!$L$6:$L$105,"Operating Expense")</f>
        <v>90000</v>
      </c>
      <c r="F9" s="17"/>
      <c r="G9" s="20">
        <f>F8+SUMIFS('Review'!$E$6:$E$105,'Review'!$L$6:$L$105,"Other Income")-SUMIFS('Review'!$E$6:$E$105,'Review'!$L$6:$L$105,"Other Expense")</f>
        <v>90000</v>
      </c>
    </row>
    <row r="10" spans="1:8" x14ac:dyDescent="0.25"/>
    <row r="11" spans="1:8" x14ac:dyDescent="0.25">
      <c r="A11" s="19" t="s">
        <v>91</v>
      </c>
      <c r="B11" s="17"/>
      <c r="C11" s="19" t="s">
        <v>92</v>
      </c>
    </row>
    <row r="12" spans="1:8" x14ac:dyDescent="0.25">
      <c r="A12" s="20">
        <f>SUMIFS('Review'!$E$6:$E$105,'Review'!$L$6:$L$105,"Cash")+SUMIFS('Review'!$E$6:$E$105,'Review'!$L$6:$L$105,"Accounts Receivable")+SUMIFS('Review'!$E$6:$E$105,'Review'!$L$6:$L$105,"Current Assets")-SUMIFS('Review'!$E$6:$E$105,'Review'!$L$6:$L$105,"Accounts Payable")-SUMIFS('Review'!$E$6:$E$105,'Review'!$L$6:$L$105,"Current Liabilities")</f>
        <v>124000</v>
      </c>
      <c r="B12" s="17"/>
      <c r="C12" s="21">
        <f>COUNTIF('Review'!$M$6:$M$105,"Review")+COUNTIF('Review'!$M$6:$M$105,"Incomplete")</f>
        <v>7</v>
      </c>
    </row>
    <row r="13" spans="1:8" x14ac:dyDescent="0.25"/>
    <row r="14" spans="1:8" x14ac:dyDescent="0.25">
      <c r="A14" s="22" t="s">
        <v>93</v>
      </c>
      <c r="B14" s="22"/>
      <c r="C14" s="22"/>
      <c r="D14" s="22"/>
      <c r="E14" s="22"/>
      <c r="F14" s="22"/>
      <c r="G14" s="22"/>
      <c r="H14" s="22"/>
    </row>
    <row r="15" spans="1:8" s="6" customFormat="1" x14ac:dyDescent="0.25">
      <c r="A15" s="23" t="s">
        <v>94</v>
      </c>
      <c r="B15" s="23" t="s">
        <v>95</v>
      </c>
      <c r="C15" s="23" t="s">
        <v>96</v>
      </c>
      <c r="D15" s="23" t="s">
        <v>75</v>
      </c>
      <c r="E15" s="23" t="s">
        <v>77</v>
      </c>
      <c r="F15" s="23" t="s">
        <v>79</v>
      </c>
      <c r="G15" s="23" t="s">
        <v>81</v>
      </c>
      <c r="H15" s="23" t="s">
        <v>97</v>
      </c>
    </row>
    <row r="16" spans="1:8" x14ac:dyDescent="0.25">
      <c r="A16" s="17">
        <v>1</v>
      </c>
      <c r="B16" s="17" t="str">
        <f>IFERROR(INDEX('Review'!$C$6:$C$105,MATCH(LARGE('Review'!$O$6:$O$105,1),'Review'!$O$6:$O$105,0)),"")</f>
        <v>Service Revenue</v>
      </c>
      <c r="C16" s="17" t="str">
        <f>IFERROR(INDEX('Review'!$L$6:$L$105,MATCH(LARGE('Review'!$O$6:$O$105,1),'Review'!$O$6:$O$105,0)),"")</f>
        <v>Revenue</v>
      </c>
      <c r="D16" s="24">
        <f>IFERROR(INDEX('Review'!$E$6:$E$105,MATCH(LARGE('Review'!$O$6:$O$105,1),'Review'!$O$6:$O$105,0)),"")</f>
        <v>58000</v>
      </c>
      <c r="E16" s="24">
        <f>IFERROR(INDEX('Review'!$H$6:$H$105,MATCH(LARGE('Review'!$O$6:$O$105,1),'Review'!$O$6:$O$105,0)),"")</f>
        <v>58000</v>
      </c>
      <c r="F16" s="24">
        <f>IFERROR(INDEX('Review'!$J$6:$J$105,MATCH(LARGE('Review'!$O$6:$O$105,1),'Review'!$O$6:$O$105,0)),"")</f>
        <v>13000</v>
      </c>
      <c r="G16" s="17" t="str">
        <f>IFERROR(INDEX('Review'!$M$6:$M$105,MATCH(LARGE('Review'!$O$6:$O$105,1),'Review'!$O$6:$O$105,0)),"")</f>
        <v>Review</v>
      </c>
      <c r="H16" s="17" t="str">
        <f>IFERROR(INDEX('Review'!$N$6:$N$105,MATCH(LARGE('Review'!$O$6:$O$105,1),'Review'!$O$6:$O$105,0)),"")</f>
        <v/>
      </c>
    </row>
    <row r="17" spans="1:8" x14ac:dyDescent="0.25">
      <c r="A17" s="17">
        <v>2</v>
      </c>
      <c r="B17" s="17" t="str">
        <f>IFERROR(INDEX('Review'!$C$6:$C$105,MATCH(LARGE('Review'!$O$6:$O$105,2),'Review'!$O$6:$O$105,0)),"")</f>
        <v>Product Revenue</v>
      </c>
      <c r="C17" s="17" t="str">
        <f>IFERROR(INDEX('Review'!$L$6:$L$105,MATCH(LARGE('Review'!$O$6:$O$105,2),'Review'!$O$6:$O$105,0)),"")</f>
        <v>Revenue</v>
      </c>
      <c r="D17" s="24">
        <f>IFERROR(INDEX('Review'!$E$6:$E$105,MATCH(LARGE('Review'!$O$6:$O$105,2),'Review'!$O$6:$O$105,0)),"")</f>
        <v>245000</v>
      </c>
      <c r="E17" s="24">
        <f>IFERROR(INDEX('Review'!$H$6:$H$105,MATCH(LARGE('Review'!$O$6:$O$105,2),'Review'!$O$6:$O$105,0)),"")</f>
        <v>35000</v>
      </c>
      <c r="F17" s="24">
        <f>IFERROR(INDEX('Review'!$J$6:$J$105,MATCH(LARGE('Review'!$O$6:$O$105,2),'Review'!$O$6:$O$105,0)),"")</f>
        <v>15000</v>
      </c>
      <c r="G17" s="17" t="str">
        <f>IFERROR(INDEX('Review'!$M$6:$M$105,MATCH(LARGE('Review'!$O$6:$O$105,2),'Review'!$O$6:$O$105,0)),"")</f>
        <v>Review</v>
      </c>
      <c r="H17" s="17" t="str">
        <f>IFERROR(INDEX('Review'!$N$6:$N$105,MATCH(LARGE('Review'!$O$6:$O$105,2),'Review'!$O$6:$O$105,0)),"")</f>
        <v/>
      </c>
    </row>
    <row r="18" spans="1:8" x14ac:dyDescent="0.25">
      <c r="A18" s="17">
        <v>3</v>
      </c>
      <c r="B18" s="17" t="str">
        <f>IFERROR(INDEX('Review'!$C$6:$C$105,MATCH(LARGE('Review'!$O$6:$O$105,3),'Review'!$O$6:$O$105,0)),"")</f>
        <v>Operating Cash</v>
      </c>
      <c r="C18" s="17" t="str">
        <f>IFERROR(INDEX('Review'!$L$6:$L$105,MATCH(LARGE('Review'!$O$6:$O$105,3),'Review'!$O$6:$O$105,0)),"")</f>
        <v>Cash</v>
      </c>
      <c r="D18" s="24">
        <f>IFERROR(INDEX('Review'!$E$6:$E$105,MATCH(LARGE('Review'!$O$6:$O$105,3),'Review'!$O$6:$O$105,0)),"")</f>
        <v>122000</v>
      </c>
      <c r="E18" s="24">
        <f>IFERROR(INDEX('Review'!$H$6:$H$105,MATCH(LARGE('Review'!$O$6:$O$105,3),'Review'!$O$6:$O$105,0)),"")</f>
        <v>26000</v>
      </c>
      <c r="F18" s="24">
        <f>IFERROR(INDEX('Review'!$J$6:$J$105,MATCH(LARGE('Review'!$O$6:$O$105,3),'Review'!$O$6:$O$105,0)),"")</f>
        <v>12000</v>
      </c>
      <c r="G18" s="17" t="str">
        <f>IFERROR(INDEX('Review'!$M$6:$M$105,MATCH(LARGE('Review'!$O$6:$O$105,3),'Review'!$O$6:$O$105,0)),"")</f>
        <v>Review</v>
      </c>
      <c r="H18" s="17" t="str">
        <f>IFERROR(INDEX('Review'!$N$6:$N$105,MATCH(LARGE('Review'!$O$6:$O$105,3),'Review'!$O$6:$O$105,0)),"")</f>
        <v/>
      </c>
    </row>
    <row r="19" spans="1:8" x14ac:dyDescent="0.25">
      <c r="A19" s="17">
        <v>4</v>
      </c>
      <c r="B19" s="17" t="str">
        <f>IFERROR(INDEX('Review'!$C$6:$C$105,MATCH(LARGE('Review'!$O$6:$O$105,4),'Review'!$O$6:$O$105,0)),"")</f>
        <v>Accounts Receivable</v>
      </c>
      <c r="C19" s="17" t="str">
        <f>IFERROR(INDEX('Review'!$L$6:$L$105,MATCH(LARGE('Review'!$O$6:$O$105,4),'Review'!$O$6:$O$105,0)),"")</f>
        <v>Accounts Receivable</v>
      </c>
      <c r="D19" s="24">
        <f>IFERROR(INDEX('Review'!$E$6:$E$105,MATCH(LARGE('Review'!$O$6:$O$105,4),'Review'!$O$6:$O$105,0)),"")</f>
        <v>87000</v>
      </c>
      <c r="E19" s="24">
        <f>IFERROR(INDEX('Review'!$H$6:$H$105,MATCH(LARGE('Review'!$O$6:$O$105,4),'Review'!$O$6:$O$105,0)),"")</f>
        <v>15000</v>
      </c>
      <c r="F19" s="24">
        <f>IFERROR(INDEX('Review'!$J$6:$J$105,MATCH(LARGE('Review'!$O$6:$O$105,4),'Review'!$O$6:$O$105,0)),"")</f>
        <v>11000</v>
      </c>
      <c r="G19" s="17" t="str">
        <f>IFERROR(INDEX('Review'!$M$6:$M$105,MATCH(LARGE('Review'!$O$6:$O$105,4),'Review'!$O$6:$O$105,0)),"")</f>
        <v>Review</v>
      </c>
      <c r="H19" s="17" t="str">
        <f>IFERROR(INDEX('Review'!$N$6:$N$105,MATCH(LARGE('Review'!$O$6:$O$105,4),'Review'!$O$6:$O$105,0)),"")</f>
        <v/>
      </c>
    </row>
    <row r="20" spans="1:8" x14ac:dyDescent="0.25">
      <c r="A20" s="17">
        <v>5</v>
      </c>
      <c r="B20" s="17" t="str">
        <f>IFERROR(INDEX('Review'!$C$6:$C$105,MATCH(LARGE('Review'!$O$6:$O$105,5),'Review'!$O$6:$O$105,0)),"")</f>
        <v>Marketing</v>
      </c>
      <c r="C20" s="17" t="str">
        <f>IFERROR(INDEX('Review'!$L$6:$L$105,MATCH(LARGE('Review'!$O$6:$O$105,5),'Review'!$O$6:$O$105,0)),"")</f>
        <v>Operating Expense</v>
      </c>
      <c r="D20" s="24">
        <f>IFERROR(INDEX('Review'!$E$6:$E$105,MATCH(LARGE('Review'!$O$6:$O$105,5),'Review'!$O$6:$O$105,0)),"")</f>
        <v>31000</v>
      </c>
      <c r="E20" s="24">
        <f>IFERROR(INDEX('Review'!$H$6:$H$105,MATCH(LARGE('Review'!$O$6:$O$105,5),'Review'!$O$6:$O$105,0)),"")</f>
        <v>12000</v>
      </c>
      <c r="F20" s="24">
        <f>IFERROR(INDEX('Review'!$J$6:$J$105,MATCH(LARGE('Review'!$O$6:$O$105,5),'Review'!$O$6:$O$105,0)),"")</f>
        <v>11000</v>
      </c>
      <c r="G20" s="17" t="str">
        <f>IFERROR(INDEX('Review'!$M$6:$M$105,MATCH(LARGE('Review'!$O$6:$O$105,5),'Review'!$O$6:$O$105,0)),"")</f>
        <v>Review</v>
      </c>
      <c r="H20" s="17" t="str">
        <f>IFERROR(INDEX('Review'!$N$6:$N$105,MATCH(LARGE('Review'!$O$6:$O$105,5),'Review'!$O$6:$O$105,0)),"")</f>
        <v/>
      </c>
    </row>
    <row r="21" spans="1:8" x14ac:dyDescent="0.25"/>
    <row r="22" spans="1:8" x14ac:dyDescent="0.25"/>
    <row r="23" spans="1:8" x14ac:dyDescent="0.25"/>
    <row r="24" spans="1:8" x14ac:dyDescent="0.25"/>
  </sheetData>
  <mergeCells count="3">
    <mergeCell ref="A1:H2"/>
    <mergeCell ref="A3:H3"/>
    <mergeCell ref="A14:H14"/>
  </mergeCells>
  <pageMargins left="0.25" right="0.25" top="0.4" bottom="0.4" header="0.1" footer="0.1"/>
  <pageSetup paperSize="9" orientation="landscape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workbookViewId="0" showGridLines="0"/>
  </sheetViews>
  <sheetFormatPr defaultRowHeight="15" outlineLevelRow="0" outlineLevelCol="0" x14ac:dyDescent="55"/>
  <cols>
    <col min="1" max="1" width="22" customWidth="1"/>
    <col min="2" max="2" width="27" customWidth="1"/>
    <col min="3" max="3" width="26" customWidth="1"/>
    <col min="4" max="4" width="18" customWidth="1"/>
  </cols>
  <sheetData>
    <row r="1" ht="30" customHeight="1" spans="1:4" s="8" customFormat="1" x14ac:dyDescent="0.25">
      <c r="A1" s="8" t="s">
        <v>28</v>
      </c>
      <c r="B1" s="8" t="s">
        <v>31</v>
      </c>
      <c r="C1" s="8" t="s">
        <v>35</v>
      </c>
      <c r="D1" s="8" t="s">
        <v>7</v>
      </c>
    </row>
    <row r="2" spans="1:4" x14ac:dyDescent="0.25">
      <c r="A2" t="s">
        <v>36</v>
      </c>
      <c r="B2" t="s">
        <v>39</v>
      </c>
      <c r="C2" t="s">
        <v>40</v>
      </c>
      <c r="D2" t="s">
        <v>8</v>
      </c>
    </row>
    <row r="3" spans="1:4" x14ac:dyDescent="0.25">
      <c r="A3" t="s">
        <v>54</v>
      </c>
      <c r="B3" t="s">
        <v>45</v>
      </c>
      <c r="C3" t="s">
        <v>45</v>
      </c>
      <c r="D3" t="s">
        <v>98</v>
      </c>
    </row>
    <row r="4" spans="1:4" x14ac:dyDescent="0.25">
      <c r="B4" t="s">
        <v>48</v>
      </c>
      <c r="C4" t="s">
        <v>49</v>
      </c>
    </row>
    <row r="5" spans="1:4" x14ac:dyDescent="0.25">
      <c r="B5" t="s">
        <v>57</v>
      </c>
      <c r="C5" t="s">
        <v>99</v>
      </c>
    </row>
    <row r="6" spans="1:4" x14ac:dyDescent="0.25">
      <c r="B6" t="s">
        <v>60</v>
      </c>
      <c r="C6" t="s">
        <v>100</v>
      </c>
    </row>
    <row r="7" spans="1:4" x14ac:dyDescent="0.25">
      <c r="B7" t="s">
        <v>63</v>
      </c>
      <c r="C7" t="s">
        <v>58</v>
      </c>
    </row>
    <row r="8" spans="1:4" x14ac:dyDescent="0.25">
      <c r="B8" t="s">
        <v>66</v>
      </c>
      <c r="C8" t="s">
        <v>60</v>
      </c>
    </row>
    <row r="9" spans="1:4" x14ac:dyDescent="0.25">
      <c r="B9" t="s">
        <v>69</v>
      </c>
      <c r="C9" t="s">
        <v>64</v>
      </c>
    </row>
    <row r="10" spans="1:4" x14ac:dyDescent="0.25">
      <c r="B10" t="s">
        <v>101</v>
      </c>
      <c r="C10" t="s">
        <v>66</v>
      </c>
    </row>
    <row r="11" spans="1:4" x14ac:dyDescent="0.25">
      <c r="C11" t="s">
        <v>70</v>
      </c>
    </row>
    <row r="12" spans="1:4" x14ac:dyDescent="0.25">
      <c r="C12" t="s">
        <v>101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Start Here</vt:lpstr>
      <vt:lpstr>Paste Import</vt:lpstr>
      <vt:lpstr>Manual Input</vt:lpstr>
      <vt:lpstr>Review</vt:lpstr>
      <vt:lpstr>Summary</vt:lpstr>
      <vt:lpstr>Lists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FinBoard</dc:creator>
  <dc:title/>
  <dc:subject/>
  <dc:description/>
  <cp:keywords/>
  <cp:category/>
  <cp:lastModifiedBy>Unknown</cp:lastModifiedBy>
  <dcterms:created xsi:type="dcterms:W3CDTF">2026-07-22T00:00:00Z</dcterms:created>
  <dcterms:modified xsi:type="dcterms:W3CDTF">2026-07-22T13:13:21Z</dcterms:modified>
</cp:coreProperties>
</file>